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eandro Papasud\Leandro\"/>
    </mc:Choice>
  </mc:AlternateContent>
  <xr:revisionPtr revIDLastSave="0" documentId="13_ncr:1_{0C59C033-917D-40FF-BEBF-73AD7D8185CC}" xr6:coauthVersionLast="40" xr6:coauthVersionMax="40" xr10:uidLastSave="{00000000-0000-0000-0000-000000000000}"/>
  <bookViews>
    <workbookView xWindow="0" yWindow="0" windowWidth="20490" windowHeight="7545" activeTab="1" xr2:uid="{724AB896-E28C-452C-AC2F-5C240A197F94}"/>
  </bookViews>
  <sheets>
    <sheet name="Presupuesto" sheetId="1" r:id="rId1"/>
    <sheet name="Orden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3" i="2" l="1"/>
  <c r="G22" i="2"/>
  <c r="G21" i="2"/>
  <c r="G14" i="2"/>
  <c r="G15" i="2"/>
  <c r="G13" i="2"/>
  <c r="G6" i="2"/>
  <c r="G7" i="2"/>
  <c r="G5" i="2"/>
  <c r="E83" i="1"/>
  <c r="G83" i="1" s="1"/>
  <c r="G82" i="1"/>
  <c r="E82" i="1"/>
  <c r="E81" i="1"/>
  <c r="G81" i="1" s="1"/>
  <c r="E80" i="1"/>
  <c r="G80" i="1" s="1"/>
  <c r="E79" i="1"/>
  <c r="G79" i="1" s="1"/>
  <c r="E78" i="1"/>
  <c r="G78" i="1" s="1"/>
  <c r="E77" i="1"/>
  <c r="G77" i="1" s="1"/>
  <c r="E76" i="1"/>
  <c r="G76" i="1" s="1"/>
  <c r="E75" i="1"/>
  <c r="G75" i="1" s="1"/>
  <c r="G74" i="1"/>
  <c r="E74" i="1"/>
  <c r="E73" i="1"/>
  <c r="G73" i="1" s="1"/>
  <c r="E72" i="1"/>
  <c r="G72" i="1" s="1"/>
  <c r="E71" i="1"/>
  <c r="G71" i="1" s="1"/>
  <c r="G70" i="1" s="1"/>
  <c r="F70" i="1"/>
  <c r="E66" i="1"/>
  <c r="G66" i="1" s="1"/>
  <c r="E64" i="1"/>
  <c r="G64" i="1" s="1"/>
  <c r="G62" i="1" s="1"/>
  <c r="E63" i="1"/>
  <c r="G63" i="1" s="1"/>
  <c r="F62" i="1"/>
  <c r="E61" i="1"/>
  <c r="G61" i="1" s="1"/>
  <c r="E60" i="1"/>
  <c r="G60" i="1" s="1"/>
  <c r="E59" i="1"/>
  <c r="G59" i="1" s="1"/>
  <c r="E58" i="1"/>
  <c r="G58" i="1" s="1"/>
  <c r="E57" i="1"/>
  <c r="G57" i="1" s="1"/>
  <c r="E56" i="1"/>
  <c r="G56" i="1" s="1"/>
  <c r="E55" i="1"/>
  <c r="G55" i="1" s="1"/>
  <c r="G54" i="1"/>
  <c r="E54" i="1"/>
  <c r="E53" i="1"/>
  <c r="G53" i="1" s="1"/>
  <c r="E52" i="1"/>
  <c r="G52" i="1" s="1"/>
  <c r="E51" i="1"/>
  <c r="G51" i="1" s="1"/>
  <c r="E50" i="1"/>
  <c r="G50" i="1" s="1"/>
  <c r="E49" i="1"/>
  <c r="G49" i="1" s="1"/>
  <c r="E48" i="1"/>
  <c r="G48" i="1" s="1"/>
  <c r="E47" i="1"/>
  <c r="G47" i="1" s="1"/>
  <c r="E45" i="1"/>
  <c r="G45" i="1" s="1"/>
  <c r="C45" i="1"/>
  <c r="C46" i="1" s="1"/>
  <c r="E46" i="1" s="1"/>
  <c r="G46" i="1" s="1"/>
  <c r="E44" i="1"/>
  <c r="G44" i="1" s="1"/>
  <c r="E43" i="1"/>
  <c r="G43" i="1" s="1"/>
  <c r="E42" i="1"/>
  <c r="G42" i="1" s="1"/>
  <c r="F41" i="1"/>
  <c r="G40" i="1"/>
  <c r="E40" i="1"/>
  <c r="E39" i="1"/>
  <c r="G39" i="1" s="1"/>
  <c r="G37" i="1"/>
  <c r="E37" i="1"/>
  <c r="G36" i="1"/>
  <c r="G35" i="1"/>
  <c r="G34" i="1"/>
  <c r="G33" i="1"/>
  <c r="E32" i="1"/>
  <c r="G32" i="1" s="1"/>
  <c r="G31" i="1"/>
  <c r="E31" i="1"/>
  <c r="E30" i="1"/>
  <c r="G30" i="1" s="1"/>
  <c r="G29" i="1"/>
  <c r="E29" i="1"/>
  <c r="G28" i="1"/>
  <c r="E28" i="1"/>
  <c r="G27" i="1"/>
  <c r="E27" i="1"/>
  <c r="E26" i="1"/>
  <c r="G26" i="1" s="1"/>
  <c r="G25" i="1"/>
  <c r="E25" i="1"/>
  <c r="G24" i="1"/>
  <c r="E24" i="1"/>
  <c r="G23" i="1"/>
  <c r="E23" i="1"/>
  <c r="E22" i="1"/>
  <c r="G22" i="1" s="1"/>
  <c r="E21" i="1"/>
  <c r="G21" i="1" s="1"/>
  <c r="E20" i="1"/>
  <c r="G20" i="1" s="1"/>
  <c r="E19" i="1"/>
  <c r="G19" i="1" s="1"/>
  <c r="E18" i="1"/>
  <c r="G18" i="1" s="1"/>
  <c r="G17" i="1"/>
  <c r="G15" i="1"/>
  <c r="E15" i="1"/>
  <c r="E14" i="1"/>
  <c r="G14" i="1" s="1"/>
  <c r="G13" i="1"/>
  <c r="E13" i="1"/>
  <c r="E12" i="1"/>
  <c r="G12" i="1" s="1"/>
  <c r="G11" i="1"/>
  <c r="E11" i="1"/>
  <c r="C10" i="1"/>
  <c r="E10" i="1" s="1"/>
  <c r="G10" i="1" s="1"/>
  <c r="E9" i="1"/>
  <c r="G9" i="1" s="1"/>
  <c r="E8" i="1"/>
  <c r="G8" i="1" s="1"/>
  <c r="E7" i="1"/>
  <c r="G7" i="1" s="1"/>
  <c r="E6" i="1"/>
  <c r="G6" i="1" s="1"/>
  <c r="E5" i="1"/>
  <c r="G5" i="1" s="1"/>
  <c r="G3" i="1" s="1"/>
  <c r="G4" i="1"/>
  <c r="B1" i="1"/>
  <c r="H9" i="1" s="1"/>
  <c r="I9" i="1" s="1"/>
  <c r="J9" i="1" s="1"/>
  <c r="H5" i="1" l="1"/>
  <c r="I5" i="1" s="1"/>
  <c r="J5" i="1" s="1"/>
  <c r="H7" i="1"/>
  <c r="I7" i="1" s="1"/>
  <c r="J7" i="1" s="1"/>
  <c r="G16" i="1"/>
  <c r="H45" i="1"/>
  <c r="I45" i="1" s="1"/>
  <c r="J45" i="1" s="1"/>
  <c r="H39" i="1"/>
  <c r="I39" i="1" s="1"/>
  <c r="J39" i="1" s="1"/>
  <c r="H36" i="1"/>
  <c r="I36" i="1" s="1"/>
  <c r="J36" i="1" s="1"/>
  <c r="H32" i="1"/>
  <c r="I32" i="1" s="1"/>
  <c r="J32" i="1" s="1"/>
  <c r="H30" i="1"/>
  <c r="I30" i="1" s="1"/>
  <c r="J30" i="1" s="1"/>
  <c r="H28" i="1"/>
  <c r="I28" i="1" s="1"/>
  <c r="J28" i="1" s="1"/>
  <c r="H26" i="1"/>
  <c r="I26" i="1" s="1"/>
  <c r="J26" i="1" s="1"/>
  <c r="H24" i="1"/>
  <c r="I24" i="1" s="1"/>
  <c r="J24" i="1" s="1"/>
  <c r="H22" i="1"/>
  <c r="I22" i="1" s="1"/>
  <c r="J22" i="1" s="1"/>
  <c r="H82" i="1"/>
  <c r="I82" i="1" s="1"/>
  <c r="J82" i="1" s="1"/>
  <c r="H80" i="1"/>
  <c r="I80" i="1" s="1"/>
  <c r="J80" i="1" s="1"/>
  <c r="H78" i="1"/>
  <c r="I78" i="1" s="1"/>
  <c r="J78" i="1" s="1"/>
  <c r="H76" i="1"/>
  <c r="I76" i="1" s="1"/>
  <c r="J76" i="1" s="1"/>
  <c r="H74" i="1"/>
  <c r="I74" i="1" s="1"/>
  <c r="J74" i="1" s="1"/>
  <c r="H72" i="1"/>
  <c r="I72" i="1" s="1"/>
  <c r="J72" i="1" s="1"/>
  <c r="H64" i="1"/>
  <c r="I64" i="1" s="1"/>
  <c r="J64" i="1" s="1"/>
  <c r="H60" i="1"/>
  <c r="I60" i="1" s="1"/>
  <c r="J60" i="1" s="1"/>
  <c r="H58" i="1"/>
  <c r="I58" i="1" s="1"/>
  <c r="J58" i="1" s="1"/>
  <c r="H56" i="1"/>
  <c r="I56" i="1" s="1"/>
  <c r="J56" i="1" s="1"/>
  <c r="H54" i="1"/>
  <c r="I54" i="1" s="1"/>
  <c r="J54" i="1" s="1"/>
  <c r="H52" i="1"/>
  <c r="I52" i="1" s="1"/>
  <c r="J52" i="1" s="1"/>
  <c r="H50" i="1"/>
  <c r="I50" i="1" s="1"/>
  <c r="J50" i="1" s="1"/>
  <c r="H48" i="1"/>
  <c r="I48" i="1" s="1"/>
  <c r="J48" i="1" s="1"/>
  <c r="H46" i="1"/>
  <c r="I46" i="1" s="1"/>
  <c r="J46" i="1" s="1"/>
  <c r="H43" i="1"/>
  <c r="I43" i="1" s="1"/>
  <c r="J43" i="1" s="1"/>
  <c r="H35" i="1"/>
  <c r="I35" i="1" s="1"/>
  <c r="J35" i="1" s="1"/>
  <c r="H77" i="1"/>
  <c r="I77" i="1" s="1"/>
  <c r="J77" i="1" s="1"/>
  <c r="H66" i="1"/>
  <c r="I66" i="1" s="1"/>
  <c r="J66" i="1" s="1"/>
  <c r="H57" i="1"/>
  <c r="I57" i="1" s="1"/>
  <c r="J57" i="1" s="1"/>
  <c r="H49" i="1"/>
  <c r="I49" i="1" s="1"/>
  <c r="J49" i="1" s="1"/>
  <c r="H34" i="1"/>
  <c r="I34" i="1" s="1"/>
  <c r="J34" i="1" s="1"/>
  <c r="H14" i="1"/>
  <c r="I14" i="1" s="1"/>
  <c r="J14" i="1" s="1"/>
  <c r="H12" i="1"/>
  <c r="I12" i="1" s="1"/>
  <c r="J12" i="1" s="1"/>
  <c r="H10" i="1"/>
  <c r="I10" i="1" s="1"/>
  <c r="J10" i="1" s="1"/>
  <c r="H81" i="1"/>
  <c r="I81" i="1" s="1"/>
  <c r="J81" i="1" s="1"/>
  <c r="H73" i="1"/>
  <c r="I73" i="1" s="1"/>
  <c r="J73" i="1" s="1"/>
  <c r="H61" i="1"/>
  <c r="I61" i="1" s="1"/>
  <c r="J61" i="1" s="1"/>
  <c r="H53" i="1"/>
  <c r="I53" i="1" s="1"/>
  <c r="J53" i="1" s="1"/>
  <c r="H44" i="1"/>
  <c r="I44" i="1" s="1"/>
  <c r="J44" i="1" s="1"/>
  <c r="H37" i="1"/>
  <c r="I37" i="1" s="1"/>
  <c r="J37" i="1" s="1"/>
  <c r="H15" i="1"/>
  <c r="I15" i="1" s="1"/>
  <c r="J15" i="1" s="1"/>
  <c r="H13" i="1"/>
  <c r="I13" i="1" s="1"/>
  <c r="J13" i="1" s="1"/>
  <c r="H11" i="1"/>
  <c r="I11" i="1" s="1"/>
  <c r="J11" i="1" s="1"/>
  <c r="H83" i="1"/>
  <c r="I83" i="1" s="1"/>
  <c r="J83" i="1" s="1"/>
  <c r="H75" i="1"/>
  <c r="I75" i="1" s="1"/>
  <c r="J75" i="1" s="1"/>
  <c r="H63" i="1"/>
  <c r="H55" i="1"/>
  <c r="I55" i="1" s="1"/>
  <c r="J55" i="1" s="1"/>
  <c r="H47" i="1"/>
  <c r="I47" i="1" s="1"/>
  <c r="J47" i="1" s="1"/>
  <c r="H40" i="1"/>
  <c r="I40" i="1" s="1"/>
  <c r="J40" i="1" s="1"/>
  <c r="H33" i="1"/>
  <c r="I33" i="1" s="1"/>
  <c r="J33" i="1" s="1"/>
  <c r="H27" i="1"/>
  <c r="I27" i="1" s="1"/>
  <c r="J27" i="1" s="1"/>
  <c r="H23" i="1"/>
  <c r="I23" i="1" s="1"/>
  <c r="J23" i="1" s="1"/>
  <c r="H20" i="1"/>
  <c r="I20" i="1" s="1"/>
  <c r="J20" i="1" s="1"/>
  <c r="H18" i="1"/>
  <c r="I18" i="1" s="1"/>
  <c r="J18" i="1" s="1"/>
  <c r="H79" i="1"/>
  <c r="I79" i="1" s="1"/>
  <c r="J79" i="1" s="1"/>
  <c r="H71" i="1"/>
  <c r="H59" i="1"/>
  <c r="I59" i="1" s="1"/>
  <c r="J59" i="1" s="1"/>
  <c r="H51" i="1"/>
  <c r="I51" i="1" s="1"/>
  <c r="J51" i="1" s="1"/>
  <c r="H42" i="1"/>
  <c r="I42" i="1" s="1"/>
  <c r="H31" i="1"/>
  <c r="I31" i="1" s="1"/>
  <c r="J31" i="1" s="1"/>
  <c r="H29" i="1"/>
  <c r="I29" i="1" s="1"/>
  <c r="J29" i="1" s="1"/>
  <c r="H25" i="1"/>
  <c r="I25" i="1" s="1"/>
  <c r="J25" i="1" s="1"/>
  <c r="H21" i="1"/>
  <c r="I21" i="1" s="1"/>
  <c r="J21" i="1" s="1"/>
  <c r="H19" i="1"/>
  <c r="I19" i="1" s="1"/>
  <c r="J19" i="1" s="1"/>
  <c r="H17" i="1"/>
  <c r="I17" i="1" s="1"/>
  <c r="H8" i="1"/>
  <c r="I8" i="1" s="1"/>
  <c r="J8" i="1" s="1"/>
  <c r="H6" i="1"/>
  <c r="I6" i="1" s="1"/>
  <c r="J6" i="1" s="1"/>
  <c r="H4" i="1"/>
  <c r="I4" i="1" s="1"/>
  <c r="E84" i="1"/>
  <c r="G41" i="1"/>
  <c r="G67" i="1" s="1"/>
  <c r="G68" i="1" s="1"/>
  <c r="E70" i="1"/>
  <c r="I41" i="1" l="1"/>
  <c r="J41" i="1" s="1"/>
  <c r="J42" i="1"/>
  <c r="J17" i="1"/>
  <c r="I16" i="1"/>
  <c r="J16" i="1" s="1"/>
  <c r="H62" i="1"/>
  <c r="I63" i="1"/>
  <c r="G84" i="1"/>
  <c r="E85" i="1"/>
  <c r="I3" i="1"/>
  <c r="J4" i="1"/>
  <c r="H70" i="1"/>
  <c r="I71" i="1"/>
  <c r="J3" i="1" l="1"/>
  <c r="I67" i="1"/>
  <c r="I62" i="1"/>
  <c r="J63" i="1"/>
  <c r="G88" i="1"/>
  <c r="H88" i="1" s="1"/>
  <c r="G85" i="1"/>
  <c r="G89" i="1" s="1"/>
  <c r="H89" i="1" s="1"/>
  <c r="I70" i="1"/>
  <c r="I84" i="1"/>
  <c r="J71" i="1"/>
  <c r="J67" i="1" l="1"/>
  <c r="I88" i="1"/>
  <c r="J88" i="1" s="1"/>
  <c r="I68" i="1"/>
  <c r="I85" i="1"/>
  <c r="J85" i="1" s="1"/>
  <c r="K85" i="1" s="1"/>
  <c r="J84" i="1"/>
  <c r="K63" i="1"/>
  <c r="J62" i="1"/>
  <c r="K62" i="1" s="1"/>
  <c r="K71" i="1"/>
  <c r="J70" i="1"/>
  <c r="K3" i="1"/>
  <c r="J68" i="1" l="1"/>
  <c r="I89" i="1"/>
  <c r="J89" i="1" s="1"/>
  <c r="K89" i="1" s="1"/>
  <c r="K88" i="1"/>
  <c r="K9" i="1"/>
  <c r="K27" i="1"/>
  <c r="K48" i="1"/>
  <c r="K13" i="1"/>
  <c r="K82" i="1"/>
  <c r="K29" i="1"/>
  <c r="K75" i="1"/>
  <c r="K57" i="1"/>
  <c r="K76" i="1"/>
  <c r="K21" i="1"/>
  <c r="K77" i="1"/>
  <c r="K36" i="1"/>
  <c r="K33" i="1"/>
  <c r="K49" i="1"/>
  <c r="K39" i="1"/>
  <c r="K37" i="1"/>
  <c r="K46" i="1"/>
  <c r="K24" i="1"/>
  <c r="K50" i="1"/>
  <c r="K23" i="1"/>
  <c r="K54" i="1"/>
  <c r="K20" i="1"/>
  <c r="K61" i="1"/>
  <c r="K30" i="1"/>
  <c r="K55" i="1"/>
  <c r="K8" i="1"/>
  <c r="K74" i="1"/>
  <c r="K31" i="1"/>
  <c r="K47" i="1"/>
  <c r="K64" i="1"/>
  <c r="K34" i="1"/>
  <c r="K18" i="1"/>
  <c r="K58" i="1"/>
  <c r="K40" i="1"/>
  <c r="K12" i="1"/>
  <c r="K60" i="1"/>
  <c r="K45" i="1"/>
  <c r="K81" i="1"/>
  <c r="K26" i="1"/>
  <c r="K51" i="1"/>
  <c r="K28" i="1"/>
  <c r="K66" i="1"/>
  <c r="K6" i="1"/>
  <c r="K11" i="1"/>
  <c r="K72" i="1"/>
  <c r="K70" i="1" s="1"/>
  <c r="K10" i="1"/>
  <c r="K5" i="1"/>
  <c r="K59" i="1"/>
  <c r="K15" i="1"/>
  <c r="K43" i="1"/>
  <c r="K22" i="1"/>
  <c r="K79" i="1"/>
  <c r="K56" i="1"/>
  <c r="K7" i="1"/>
  <c r="K19" i="1"/>
  <c r="K73" i="1"/>
  <c r="K32" i="1"/>
  <c r="K44" i="1"/>
  <c r="K25" i="1"/>
  <c r="K35" i="1"/>
  <c r="K52" i="1"/>
  <c r="K80" i="1"/>
  <c r="K14" i="1"/>
  <c r="K53" i="1"/>
  <c r="K83" i="1"/>
  <c r="K78" i="1"/>
  <c r="K16" i="1"/>
  <c r="K4" i="1"/>
  <c r="K17" i="1"/>
  <c r="K42" i="1"/>
  <c r="K41" i="1"/>
  <c r="K84" i="1"/>
  <c r="K6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Luffi</author>
    <author>Leandro Persico</author>
  </authors>
  <commentList>
    <comment ref="D17" authorId="0" shapeId="0" xr:uid="{B108E6D1-567D-4851-8D26-540EE3DEE68B}">
      <text>
        <r>
          <rPr>
            <b/>
            <sz val="9"/>
            <color indexed="81"/>
            <rFont val="Tahoma"/>
            <family val="2"/>
          </rPr>
          <t>50 cc en mezclas</t>
        </r>
      </text>
    </comment>
    <comment ref="D52" authorId="1" shapeId="0" xr:uid="{22A41B9E-1673-49B4-95EC-B5D76ED70CCA}">
      <text>
        <r>
          <rPr>
            <b/>
            <sz val="9"/>
            <color indexed="81"/>
            <rFont val="Tahoma"/>
            <family val="2"/>
          </rPr>
          <t>400 a 600 cc</t>
        </r>
      </text>
    </comment>
  </commentList>
</comments>
</file>

<file path=xl/sharedStrings.xml><?xml version="1.0" encoding="utf-8"?>
<sst xmlns="http://schemas.openxmlformats.org/spreadsheetml/2006/main" count="225" uniqueCount="159">
  <si>
    <t>Has</t>
  </si>
  <si>
    <t>AGROQUÍMICOS</t>
  </si>
  <si>
    <t>U$S/un</t>
  </si>
  <si>
    <t>Ds/ha</t>
  </si>
  <si>
    <t>U$S/ha</t>
  </si>
  <si>
    <t>Cur</t>
  </si>
  <si>
    <t>Total</t>
  </si>
  <si>
    <t>U$S tot</t>
  </si>
  <si>
    <t>$ totales</t>
  </si>
  <si>
    <t>Herbicidas</t>
  </si>
  <si>
    <t>Listo</t>
  </si>
  <si>
    <t>Fluazifop p-butil 5%</t>
  </si>
  <si>
    <t>Hache uno</t>
  </si>
  <si>
    <t>Fluazifop p-butil 15%</t>
  </si>
  <si>
    <t>Cletodin</t>
  </si>
  <si>
    <t>Quizalofop p-etil</t>
  </si>
  <si>
    <t>Haloxifop</t>
  </si>
  <si>
    <t>Galant</t>
  </si>
  <si>
    <t>Sencorex</t>
  </si>
  <si>
    <t>Metribuzin pre</t>
  </si>
  <si>
    <t>Metribuzin post</t>
  </si>
  <si>
    <t>Reglone</t>
  </si>
  <si>
    <t>Bromuro de Diquat</t>
  </si>
  <si>
    <t>Dual Gold</t>
  </si>
  <si>
    <t>Metolacloro 96 %</t>
  </si>
  <si>
    <t>Gramoxone</t>
  </si>
  <si>
    <t>Paraquat dicloruro</t>
  </si>
  <si>
    <t>Basagran</t>
  </si>
  <si>
    <t>Bentazón 60</t>
  </si>
  <si>
    <t>Insecticidas</t>
  </si>
  <si>
    <t>Decis</t>
  </si>
  <si>
    <t>Deltametrina, Cipermetrina</t>
  </si>
  <si>
    <t>Alfametrina</t>
  </si>
  <si>
    <t>Metamidofos</t>
  </si>
  <si>
    <t>Nativo</t>
  </si>
  <si>
    <t>Trifloxistrobin 10 g + Tebuconazole 20 g</t>
  </si>
  <si>
    <t>Nanofos</t>
  </si>
  <si>
    <t>Clorpirifos</t>
  </si>
  <si>
    <t>Endosulfan</t>
  </si>
  <si>
    <t>Perfection</t>
  </si>
  <si>
    <t>Dimetoato 40%</t>
  </si>
  <si>
    <t>Karate zeon</t>
  </si>
  <si>
    <t>Lambdacyalotrina</t>
  </si>
  <si>
    <t>Agrimec</t>
  </si>
  <si>
    <t>Abamectina 8,4</t>
  </si>
  <si>
    <t>Abamectina 3,6</t>
  </si>
  <si>
    <t>Abamectina 1,8</t>
  </si>
  <si>
    <t>Actara</t>
  </si>
  <si>
    <t>Tiametoxam 25</t>
  </si>
  <si>
    <t>Engeo, Excelso</t>
  </si>
  <si>
    <t>Tiametoxam 14,1 + Lamdacialotrina 10,6</t>
  </si>
  <si>
    <t>Alika</t>
  </si>
  <si>
    <t>Padam</t>
  </si>
  <si>
    <t>Cartap</t>
  </si>
  <si>
    <t>Virantra</t>
  </si>
  <si>
    <t>Isocycloseram</t>
  </si>
  <si>
    <t>Lucro</t>
  </si>
  <si>
    <t>Bifentrin 10% EC</t>
  </si>
  <si>
    <t>Aficida</t>
  </si>
  <si>
    <t>Pirimicarb 500g/Kg</t>
  </si>
  <si>
    <t>Chess</t>
  </si>
  <si>
    <t>Pymetrozine 50</t>
  </si>
  <si>
    <t>Lash, Bombero</t>
  </si>
  <si>
    <t>Methomil 90%</t>
  </si>
  <si>
    <t>Calypso</t>
  </si>
  <si>
    <t>Thiacloprid 48</t>
  </si>
  <si>
    <t>Imidacloprid</t>
  </si>
  <si>
    <t>Trimplin</t>
  </si>
  <si>
    <t>Imidacloprid + Bifentrin</t>
  </si>
  <si>
    <t>Magic, Kospi</t>
  </si>
  <si>
    <t>Imidacloprid 10% + Bifentrin 3%</t>
  </si>
  <si>
    <t>Fungicidas</t>
  </si>
  <si>
    <t>Daconil, Rotalonil</t>
  </si>
  <si>
    <t>Clorotalonil 72% SC</t>
  </si>
  <si>
    <t>Dithane N80</t>
  </si>
  <si>
    <t>Mancozeb</t>
  </si>
  <si>
    <t>Manzate</t>
  </si>
  <si>
    <t>Ridomil Gold</t>
  </si>
  <si>
    <t>Mancozeb+Metalaxil</t>
  </si>
  <si>
    <t>Melody duo</t>
  </si>
  <si>
    <t>Ipropalicarb 5,5 + Propineb 61,3</t>
  </si>
  <si>
    <t>Polyram</t>
  </si>
  <si>
    <t>Metiram 80 %</t>
  </si>
  <si>
    <t>Aliette, Reptil</t>
  </si>
  <si>
    <t>Fosetil Aluminio 80 %</t>
  </si>
  <si>
    <t>Azimut</t>
  </si>
  <si>
    <t>Amistar Top</t>
  </si>
  <si>
    <t>Azoxistrobina 20 + Difenoconazol 12,5</t>
  </si>
  <si>
    <t>Azoxistrobin + Tebuconazole</t>
  </si>
  <si>
    <t>Bogard</t>
  </si>
  <si>
    <t>Difenoconazole 25</t>
  </si>
  <si>
    <t>Miravis Top</t>
  </si>
  <si>
    <t>Difenoconazole 12,5 + Pydiflumetofen 7,5</t>
  </si>
  <si>
    <t>Bellis</t>
  </si>
  <si>
    <t>Boscalid 25,2 + Pyraclostrobin 12,8</t>
  </si>
  <si>
    <t>Acrobat</t>
  </si>
  <si>
    <t>Mancozeb 60 + Dimetomorf 9</t>
  </si>
  <si>
    <t>Infinito</t>
  </si>
  <si>
    <t>Fluopicolide 6,25 + Propamocarb 62,5</t>
  </si>
  <si>
    <t>Ranman</t>
  </si>
  <si>
    <t>Ciazofamida 34,78</t>
  </si>
  <si>
    <t>Zampro</t>
  </si>
  <si>
    <t xml:space="preserve">Initium 30 + dimetomorf 22,5 </t>
  </si>
  <si>
    <t>Fosfitos</t>
  </si>
  <si>
    <t>Varios</t>
  </si>
  <si>
    <t>Curas</t>
  </si>
  <si>
    <t>Ácido fosfórico</t>
  </si>
  <si>
    <t>Emultec</t>
  </si>
  <si>
    <t>Coadyubantes</t>
  </si>
  <si>
    <t>Micronutrientes</t>
  </si>
  <si>
    <t>Aceite</t>
  </si>
  <si>
    <t>Total sin IVA</t>
  </si>
  <si>
    <t>Total con IVA</t>
  </si>
  <si>
    <t>Tratamiento a la semilla</t>
  </si>
  <si>
    <t>Talco</t>
  </si>
  <si>
    <t>Oxocat</t>
  </si>
  <si>
    <t>Captan</t>
  </si>
  <si>
    <t>Prestige</t>
  </si>
  <si>
    <t>Emesto</t>
  </si>
  <si>
    <t>Benlate</t>
  </si>
  <si>
    <t>Benomil</t>
  </si>
  <si>
    <t>Carbendazim</t>
  </si>
  <si>
    <t>Grado técnico 97%</t>
  </si>
  <si>
    <t>Fertigro</t>
  </si>
  <si>
    <t>Maxigrow</t>
  </si>
  <si>
    <t>Lorsban 15G</t>
  </si>
  <si>
    <t>Clorpirifos 15 %</t>
  </si>
  <si>
    <t>Previcur</t>
  </si>
  <si>
    <t>Propamocarb</t>
  </si>
  <si>
    <t>Vaniva</t>
  </si>
  <si>
    <t>Furadan</t>
  </si>
  <si>
    <t>U$S/Ha.</t>
  </si>
  <si>
    <t>$/Ha.</t>
  </si>
  <si>
    <t>U$S Tot.</t>
  </si>
  <si>
    <t>$ Total</t>
  </si>
  <si>
    <t>Total General de Agroquímicos sin IVA</t>
  </si>
  <si>
    <t>Total General de Agroquímicos con IVA</t>
  </si>
  <si>
    <t>Ubicación</t>
  </si>
  <si>
    <t>Pivote</t>
  </si>
  <si>
    <t>B</t>
  </si>
  <si>
    <t>Tercio</t>
  </si>
  <si>
    <t>Marca</t>
  </si>
  <si>
    <t>Orden de Trabajo / Aplicación</t>
  </si>
  <si>
    <t>Fecha tarea</t>
  </si>
  <si>
    <t>Observaciones</t>
  </si>
  <si>
    <t>Aplicador</t>
  </si>
  <si>
    <t>Daniel</t>
  </si>
  <si>
    <t>Herramienta</t>
  </si>
  <si>
    <t>Drone</t>
  </si>
  <si>
    <t>C</t>
  </si>
  <si>
    <t>Pulveriadora</t>
  </si>
  <si>
    <t>Martín</t>
  </si>
  <si>
    <t>Superficie</t>
  </si>
  <si>
    <t>Total Uso</t>
  </si>
  <si>
    <t>Dosis/ha</t>
  </si>
  <si>
    <t>Engeo</t>
  </si>
  <si>
    <t>Daconil</t>
  </si>
  <si>
    <t>Magic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</si>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</sst>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"/>
    <numFmt numFmtId="166" formatCode="#,##0.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4" fontId="3" fillId="2" borderId="1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164" fontId="4" fillId="0" borderId="0" xfId="1" applyNumberFormat="1" applyFont="1" applyAlignment="1">
      <alignment horizontal="center"/>
    </xf>
    <xf numFmtId="0" fontId="4" fillId="0" borderId="0" xfId="0" applyFont="1"/>
    <xf numFmtId="4" fontId="3" fillId="2" borderId="1" xfId="0" applyNumberFormat="1" applyFont="1" applyFill="1" applyBorder="1"/>
    <xf numFmtId="164" fontId="3" fillId="2" borderId="1" xfId="1" applyNumberFormat="1" applyFont="1" applyFill="1" applyBorder="1" applyAlignment="1">
      <alignment horizontal="center"/>
    </xf>
    <xf numFmtId="4" fontId="4" fillId="2" borderId="1" xfId="0" applyNumberFormat="1" applyFont="1" applyFill="1" applyBorder="1"/>
    <xf numFmtId="4" fontId="4" fillId="2" borderId="1" xfId="0" applyNumberFormat="1" applyFont="1" applyFill="1" applyBorder="1" applyAlignment="1">
      <alignment horizontal="center"/>
    </xf>
    <xf numFmtId="4" fontId="4" fillId="0" borderId="1" xfId="0" applyNumberFormat="1" applyFont="1" applyFill="1" applyBorder="1"/>
    <xf numFmtId="4" fontId="4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4" fontId="5" fillId="0" borderId="1" xfId="0" applyNumberFormat="1" applyFont="1" applyFill="1" applyBorder="1" applyAlignment="1">
      <alignment horizontal="center"/>
    </xf>
    <xf numFmtId="164" fontId="4" fillId="0" borderId="1" xfId="1" applyNumberFormat="1" applyFont="1" applyBorder="1" applyAlignment="1">
      <alignment horizontal="center"/>
    </xf>
    <xf numFmtId="4" fontId="5" fillId="0" borderId="1" xfId="0" applyNumberFormat="1" applyFont="1" applyFill="1" applyBorder="1"/>
    <xf numFmtId="165" fontId="4" fillId="0" borderId="1" xfId="0" applyNumberFormat="1" applyFont="1" applyBorder="1" applyAlignment="1">
      <alignment horizontal="center"/>
    </xf>
    <xf numFmtId="3" fontId="3" fillId="2" borderId="1" xfId="0" applyNumberFormat="1" applyFont="1" applyFill="1" applyBorder="1" applyAlignment="1">
      <alignment horizontal="center"/>
    </xf>
    <xf numFmtId="3" fontId="4" fillId="0" borderId="1" xfId="0" applyNumberFormat="1" applyFont="1" applyFill="1" applyBorder="1" applyAlignment="1">
      <alignment horizontal="center"/>
    </xf>
    <xf numFmtId="0" fontId="6" fillId="0" borderId="0" xfId="0" applyFont="1"/>
    <xf numFmtId="4" fontId="4" fillId="0" borderId="1" xfId="0" applyNumberFormat="1" applyFont="1" applyFill="1" applyBorder="1" applyAlignment="1">
      <alignment horizontal="center"/>
    </xf>
    <xf numFmtId="4" fontId="4" fillId="0" borderId="0" xfId="0" applyNumberFormat="1" applyFont="1"/>
    <xf numFmtId="4" fontId="4" fillId="0" borderId="2" xfId="0" applyNumberFormat="1" applyFont="1" applyBorder="1" applyAlignment="1">
      <alignment horizontal="center"/>
    </xf>
    <xf numFmtId="3" fontId="4" fillId="0" borderId="0" xfId="0" applyNumberFormat="1" applyFont="1" applyAlignment="1">
      <alignment horizontal="center"/>
    </xf>
    <xf numFmtId="9" fontId="3" fillId="2" borderId="1" xfId="1" applyFont="1" applyFill="1" applyBorder="1" applyAlignment="1">
      <alignment horizontal="center"/>
    </xf>
    <xf numFmtId="166" fontId="4" fillId="0" borderId="1" xfId="0" applyNumberFormat="1" applyFont="1" applyBorder="1" applyAlignment="1">
      <alignment horizontal="center"/>
    </xf>
    <xf numFmtId="4" fontId="5" fillId="0" borderId="2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20" fontId="4" fillId="0" borderId="1" xfId="0" applyNumberFormat="1" applyFont="1" applyBorder="1" applyAlignment="1">
      <alignment horizontal="center"/>
    </xf>
    <xf numFmtId="14" fontId="4" fillId="0" borderId="0" xfId="0" applyNumberFormat="1" applyFont="1" applyBorder="1" applyAlignment="1">
      <alignment horizontal="center"/>
    </xf>
    <xf numFmtId="0" fontId="4" fillId="0" borderId="0" xfId="0" applyFont="1" applyBorder="1"/>
    <xf numFmtId="4" fontId="3" fillId="2" borderId="3" xfId="0" applyNumberFormat="1" applyFont="1" applyFill="1" applyBorder="1" applyAlignment="1">
      <alignment horizontal="center"/>
    </xf>
    <xf numFmtId="4" fontId="3" fillId="2" borderId="4" xfId="0" applyNumberFormat="1" applyFont="1" applyFill="1" applyBorder="1" applyAlignment="1">
      <alignment horizontal="center"/>
    </xf>
    <xf numFmtId="0" fontId="7" fillId="3" borderId="1" xfId="0" applyFont="1" applyFill="1" applyBorder="1"/>
    <xf numFmtId="0" fontId="7" fillId="3" borderId="1" xfId="0" applyFont="1" applyFill="1" applyBorder="1" applyAlignment="1">
      <alignment horizontal="center"/>
    </xf>
    <xf numFmtId="0" fontId="4" fillId="0" borderId="2" xfId="0" applyFont="1" applyBorder="1"/>
    <xf numFmtId="4" fontId="3" fillId="2" borderId="1" xfId="0" applyNumberFormat="1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stos/2026-2027/Presup%202026-2027%20Solo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úmen"/>
      <sheetName val="Jul26"/>
      <sheetName val="Inv."/>
      <sheetName val="Real 25-26"/>
      <sheetName val="Plan 26-27"/>
      <sheetName val="Saldo"/>
      <sheetName val="Stock26"/>
      <sheetName val="Insumos"/>
      <sheetName val="Expo"/>
      <sheetName val="HZPC"/>
      <sheetName val="Germ"/>
      <sheetName val="Ex.Py"/>
      <sheetName val="Solana3"/>
      <sheetName val="Meijer"/>
      <sheetName val="Norika"/>
      <sheetName val="LW25"/>
      <sheetName val="McCain25"/>
      <sheetName val="Inic.1"/>
      <sheetName val="Inic.2"/>
      <sheetName val="Inic.3"/>
      <sheetName val="I.1 Eco"/>
      <sheetName val="I.2 Eco"/>
      <sheetName val="I.3 Eco"/>
      <sheetName val="C-ha.I1"/>
      <sheetName val="C-ha.I2"/>
      <sheetName val="C-ha.I3"/>
      <sheetName val="Adm.Trev"/>
      <sheetName val="Adm.3 Arr."/>
      <sheetName val="Adm."/>
      <sheetName val="Maquin."/>
      <sheetName val="Agr.Tre"/>
      <sheetName val="Agr.3Arr."/>
      <sheetName val="Rgo-Hel."/>
      <sheetName val="Labores"/>
      <sheetName val="Cortina"/>
      <sheetName val="Bolsas26"/>
      <sheetName val="B25Tr"/>
      <sheetName val="L.Trev"/>
      <sheetName val="Rto"/>
      <sheetName val="Rótulos"/>
      <sheetName val="Hoja1"/>
      <sheetName val="Stock"/>
      <sheetName val="Solana"/>
      <sheetName val="Solana 2"/>
      <sheetName val="Germicopa"/>
      <sheetName val="LW"/>
      <sheetName val="LW2"/>
      <sheetName val="Germ.Plan"/>
      <sheetName val="Carteles"/>
      <sheetName val="Solana Plan"/>
      <sheetName val="Cal 21-22"/>
      <sheetName val="24-25"/>
      <sheetName val="Real 23-24"/>
      <sheetName val="Real 24-25"/>
      <sheetName val="Plan 25-26"/>
      <sheetName val="Sep24"/>
      <sheetName val="Dic24"/>
      <sheetName val="Feb25"/>
      <sheetName val="Jun25"/>
      <sheetName val="Ago25"/>
      <sheetName val="Dic25"/>
      <sheetName val="Mar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D2">
            <v>1500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2">
          <cell r="C2">
            <v>169.43968110321052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F8FAA-7BA0-4B4D-B7B6-80DF2892F45A}">
  <dimension ref="A1:K89"/>
  <sheetViews>
    <sheetView topLeftCell="A57" workbookViewId="0">
      <selection activeCell="A64" sqref="A64:D64"/>
    </sheetView>
  </sheetViews>
  <sheetFormatPr baseColWidth="10" defaultRowHeight="15" x14ac:dyDescent="0.2"/>
  <cols>
    <col min="1" max="1" width="13.85546875" style="4" customWidth="1"/>
    <col min="2" max="2" width="38.7109375" style="4" bestFit="1" customWidth="1"/>
    <col min="3" max="7" width="11.7109375" style="4" bestFit="1" customWidth="1"/>
    <col min="8" max="8" width="14.5703125" style="4" bestFit="1" customWidth="1"/>
    <col min="9" max="9" width="12.7109375" style="4" bestFit="1" customWidth="1"/>
    <col min="10" max="10" width="17.28515625" style="4" bestFit="1" customWidth="1"/>
    <col min="11" max="11" width="11.7109375" style="4" bestFit="1" customWidth="1"/>
    <col min="12" max="16384" width="11.42578125" style="4"/>
  </cols>
  <sheetData>
    <row r="1" spans="1:11" ht="15.75" x14ac:dyDescent="0.25">
      <c r="A1" s="1" t="s">
        <v>0</v>
      </c>
      <c r="B1" s="1">
        <f>[1]Inic.3!C2</f>
        <v>169.43968110321052</v>
      </c>
      <c r="C1" s="2"/>
      <c r="D1" s="2"/>
      <c r="E1" s="2"/>
      <c r="F1" s="2"/>
      <c r="G1" s="2"/>
      <c r="H1" s="2"/>
      <c r="I1" s="2"/>
      <c r="J1" s="2"/>
      <c r="K1" s="3"/>
    </row>
    <row r="2" spans="1:11" ht="15.75" x14ac:dyDescent="0.25">
      <c r="A2" s="5"/>
      <c r="B2" s="5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4</v>
      </c>
      <c r="H2" s="1" t="s">
        <v>6</v>
      </c>
      <c r="I2" s="1" t="s">
        <v>7</v>
      </c>
      <c r="J2" s="1" t="s">
        <v>8</v>
      </c>
      <c r="K2" s="6"/>
    </row>
    <row r="3" spans="1:11" ht="15.75" x14ac:dyDescent="0.25">
      <c r="A3" s="7"/>
      <c r="B3" s="5" t="s">
        <v>9</v>
      </c>
      <c r="C3" s="8"/>
      <c r="D3" s="8"/>
      <c r="E3" s="1"/>
      <c r="F3" s="1"/>
      <c r="G3" s="1">
        <f>SUM(G5:G15)</f>
        <v>91.76</v>
      </c>
      <c r="H3" s="1"/>
      <c r="I3" s="1">
        <f>SUM(I4:I15)</f>
        <v>15547.785138030596</v>
      </c>
      <c r="J3" s="1">
        <f>I3*[1]Insumos!$D$2</f>
        <v>23321677.707045894</v>
      </c>
      <c r="K3" s="6">
        <f t="shared" ref="K3:K37" si="0">J3/$J$88</f>
        <v>7.5202789780911217E-2</v>
      </c>
    </row>
    <row r="4" spans="1:11" x14ac:dyDescent="0.2">
      <c r="A4" s="9" t="s">
        <v>10</v>
      </c>
      <c r="B4" s="9" t="s">
        <v>11</v>
      </c>
      <c r="C4" s="10">
        <v>5.6</v>
      </c>
      <c r="D4" s="10">
        <v>3</v>
      </c>
      <c r="E4" s="10">
        <v>0</v>
      </c>
      <c r="F4" s="11">
        <v>0</v>
      </c>
      <c r="G4" s="10">
        <f t="shared" ref="G4:G15" si="1">E4*F4</f>
        <v>0</v>
      </c>
      <c r="H4" s="10">
        <f t="shared" ref="H4:H15" si="2">D4*F4*$B$1</f>
        <v>0</v>
      </c>
      <c r="I4" s="10">
        <f t="shared" ref="I4:I15" si="3">H4*C4</f>
        <v>0</v>
      </c>
      <c r="J4" s="12">
        <f>I4*[1]Insumos!$D$2</f>
        <v>0</v>
      </c>
      <c r="K4" s="13">
        <f t="shared" si="0"/>
        <v>0</v>
      </c>
    </row>
    <row r="5" spans="1:11" x14ac:dyDescent="0.2">
      <c r="A5" s="9" t="s">
        <v>12</v>
      </c>
      <c r="B5" s="9" t="s">
        <v>13</v>
      </c>
      <c r="C5" s="10">
        <v>14.56</v>
      </c>
      <c r="D5" s="10"/>
      <c r="E5" s="10">
        <f t="shared" ref="E5:E15" si="4">C5*D5</f>
        <v>0</v>
      </c>
      <c r="F5" s="11"/>
      <c r="G5" s="10">
        <f t="shared" si="1"/>
        <v>0</v>
      </c>
      <c r="H5" s="10">
        <f t="shared" si="2"/>
        <v>0</v>
      </c>
      <c r="I5" s="10">
        <f t="shared" si="3"/>
        <v>0</v>
      </c>
      <c r="J5" s="12">
        <f>I5*[1]Insumos!$D$2</f>
        <v>0</v>
      </c>
      <c r="K5" s="13">
        <f t="shared" si="0"/>
        <v>0</v>
      </c>
    </row>
    <row r="6" spans="1:11" x14ac:dyDescent="0.2">
      <c r="A6" s="9" t="s">
        <v>14</v>
      </c>
      <c r="B6" s="9" t="s">
        <v>15</v>
      </c>
      <c r="C6" s="10">
        <v>9</v>
      </c>
      <c r="D6" s="10">
        <v>2.5</v>
      </c>
      <c r="E6" s="10">
        <f t="shared" si="4"/>
        <v>22.5</v>
      </c>
      <c r="F6" s="11">
        <v>1</v>
      </c>
      <c r="G6" s="10">
        <f t="shared" si="1"/>
        <v>22.5</v>
      </c>
      <c r="H6" s="10">
        <f t="shared" si="2"/>
        <v>423.59920275802631</v>
      </c>
      <c r="I6" s="10">
        <f t="shared" si="3"/>
        <v>3812.3928248222369</v>
      </c>
      <c r="J6" s="12">
        <f>I6*[1]Insumos!$D$2</f>
        <v>5718589.2372333556</v>
      </c>
      <c r="K6" s="13">
        <f t="shared" si="0"/>
        <v>1.8440091216984554E-2</v>
      </c>
    </row>
    <row r="7" spans="1:11" x14ac:dyDescent="0.2">
      <c r="A7" s="9"/>
      <c r="B7" s="14" t="s">
        <v>16</v>
      </c>
      <c r="C7" s="10">
        <v>9</v>
      </c>
      <c r="D7" s="10">
        <v>0.5</v>
      </c>
      <c r="E7" s="10">
        <f>C7*D7</f>
        <v>4.5</v>
      </c>
      <c r="F7" s="11">
        <v>0</v>
      </c>
      <c r="G7" s="10">
        <f>E7*F7</f>
        <v>0</v>
      </c>
      <c r="H7" s="10">
        <f>D7*F7*$B$1</f>
        <v>0</v>
      </c>
      <c r="I7" s="10">
        <f>H7*C7</f>
        <v>0</v>
      </c>
      <c r="J7" s="12">
        <f>I7*[1]Insumos!$D$2</f>
        <v>0</v>
      </c>
      <c r="K7" s="13">
        <f t="shared" si="0"/>
        <v>0</v>
      </c>
    </row>
    <row r="8" spans="1:11" x14ac:dyDescent="0.2">
      <c r="A8" s="9" t="s">
        <v>17</v>
      </c>
      <c r="B8" s="9"/>
      <c r="C8" s="10">
        <v>7.5</v>
      </c>
      <c r="D8" s="10">
        <v>2.5</v>
      </c>
      <c r="E8" s="10">
        <f t="shared" si="4"/>
        <v>18.75</v>
      </c>
      <c r="F8" s="11">
        <v>0</v>
      </c>
      <c r="G8" s="10">
        <f t="shared" si="1"/>
        <v>0</v>
      </c>
      <c r="H8" s="10">
        <f t="shared" si="2"/>
        <v>0</v>
      </c>
      <c r="I8" s="10">
        <f t="shared" si="3"/>
        <v>0</v>
      </c>
      <c r="J8" s="12">
        <f>I8*[1]Insumos!$D$2</f>
        <v>0</v>
      </c>
      <c r="K8" s="13">
        <f t="shared" si="0"/>
        <v>0</v>
      </c>
    </row>
    <row r="9" spans="1:11" x14ac:dyDescent="0.2">
      <c r="A9" s="9" t="s">
        <v>18</v>
      </c>
      <c r="B9" s="9" t="s">
        <v>19</v>
      </c>
      <c r="C9" s="10">
        <v>18.11</v>
      </c>
      <c r="D9" s="10">
        <v>1.5</v>
      </c>
      <c r="E9" s="10">
        <f t="shared" si="4"/>
        <v>27.164999999999999</v>
      </c>
      <c r="F9" s="11">
        <v>1</v>
      </c>
      <c r="G9" s="10">
        <f t="shared" si="1"/>
        <v>27.164999999999999</v>
      </c>
      <c r="H9" s="10">
        <f t="shared" si="2"/>
        <v>254.15952165481576</v>
      </c>
      <c r="I9" s="10">
        <f t="shared" si="3"/>
        <v>4602.8289371687133</v>
      </c>
      <c r="J9" s="12">
        <f>I9*[1]Insumos!$D$2</f>
        <v>6904243.4057530696</v>
      </c>
      <c r="K9" s="13">
        <f t="shared" si="0"/>
        <v>2.2263336795972678E-2</v>
      </c>
    </row>
    <row r="10" spans="1:11" x14ac:dyDescent="0.2">
      <c r="A10" s="9" t="s">
        <v>18</v>
      </c>
      <c r="B10" s="9" t="s">
        <v>20</v>
      </c>
      <c r="C10" s="10">
        <f>C9</f>
        <v>18.11</v>
      </c>
      <c r="D10" s="10">
        <v>0.7</v>
      </c>
      <c r="E10" s="10">
        <f t="shared" si="4"/>
        <v>12.677</v>
      </c>
      <c r="F10" s="11">
        <v>0</v>
      </c>
      <c r="G10" s="10">
        <f t="shared" si="1"/>
        <v>0</v>
      </c>
      <c r="H10" s="10">
        <f t="shared" si="2"/>
        <v>0</v>
      </c>
      <c r="I10" s="10">
        <f t="shared" si="3"/>
        <v>0</v>
      </c>
      <c r="J10" s="12">
        <f>I10*[1]Insumos!$D$2</f>
        <v>0</v>
      </c>
      <c r="K10" s="13">
        <f t="shared" si="0"/>
        <v>0</v>
      </c>
    </row>
    <row r="11" spans="1:11" x14ac:dyDescent="0.2">
      <c r="A11" s="9" t="s">
        <v>21</v>
      </c>
      <c r="B11" s="9" t="s">
        <v>22</v>
      </c>
      <c r="C11" s="10">
        <v>10.41</v>
      </c>
      <c r="D11" s="10">
        <v>2</v>
      </c>
      <c r="E11" s="10">
        <f t="shared" si="4"/>
        <v>20.82</v>
      </c>
      <c r="F11" s="11">
        <v>1</v>
      </c>
      <c r="G11" s="10">
        <f t="shared" si="1"/>
        <v>20.82</v>
      </c>
      <c r="H11" s="10">
        <f t="shared" si="2"/>
        <v>338.87936220642104</v>
      </c>
      <c r="I11" s="10">
        <f t="shared" si="3"/>
        <v>3527.734160568843</v>
      </c>
      <c r="J11" s="12">
        <f>I11*[1]Insumos!$D$2</f>
        <v>5291601.2408532649</v>
      </c>
      <c r="K11" s="13">
        <f t="shared" si="0"/>
        <v>1.7063231072783038E-2</v>
      </c>
    </row>
    <row r="12" spans="1:11" x14ac:dyDescent="0.2">
      <c r="A12" s="9" t="s">
        <v>21</v>
      </c>
      <c r="B12" s="9" t="s">
        <v>22</v>
      </c>
      <c r="C12" s="10">
        <v>10.41</v>
      </c>
      <c r="D12" s="10">
        <v>1.5</v>
      </c>
      <c r="E12" s="10">
        <f>C12*D12</f>
        <v>15.615</v>
      </c>
      <c r="F12" s="11">
        <v>0</v>
      </c>
      <c r="G12" s="10">
        <f t="shared" si="1"/>
        <v>0</v>
      </c>
      <c r="H12" s="10">
        <f>D12*F12*$B$1</f>
        <v>0</v>
      </c>
      <c r="I12" s="10">
        <f>H12*C12</f>
        <v>0</v>
      </c>
      <c r="J12" s="12">
        <f>I12*[1]Insumos!$D$2</f>
        <v>0</v>
      </c>
      <c r="K12" s="13">
        <f t="shared" si="0"/>
        <v>0</v>
      </c>
    </row>
    <row r="13" spans="1:11" x14ac:dyDescent="0.2">
      <c r="A13" s="9" t="s">
        <v>23</v>
      </c>
      <c r="B13" s="9" t="s">
        <v>24</v>
      </c>
      <c r="C13" s="10">
        <v>7.43</v>
      </c>
      <c r="D13" s="10">
        <v>2.5</v>
      </c>
      <c r="E13" s="10">
        <f>C13*D13</f>
        <v>18.574999999999999</v>
      </c>
      <c r="F13" s="11">
        <v>1</v>
      </c>
      <c r="G13" s="10">
        <f t="shared" si="1"/>
        <v>18.574999999999999</v>
      </c>
      <c r="H13" s="10">
        <f>D13*F13*$B$1</f>
        <v>423.59920275802631</v>
      </c>
      <c r="I13" s="10">
        <f>H13*C13</f>
        <v>3147.3420764921352</v>
      </c>
      <c r="J13" s="12">
        <f>I13*[1]Insumos!$D$2</f>
        <v>4721013.1147382027</v>
      </c>
      <c r="K13" s="13">
        <f t="shared" si="0"/>
        <v>1.52233197491328E-2</v>
      </c>
    </row>
    <row r="14" spans="1:11" x14ac:dyDescent="0.2">
      <c r="A14" s="9" t="s">
        <v>25</v>
      </c>
      <c r="B14" s="9" t="s">
        <v>26</v>
      </c>
      <c r="C14" s="10">
        <v>2.7</v>
      </c>
      <c r="D14" s="10">
        <v>2</v>
      </c>
      <c r="E14" s="10">
        <f t="shared" si="4"/>
        <v>5.4</v>
      </c>
      <c r="F14" s="15">
        <v>0.5</v>
      </c>
      <c r="G14" s="10">
        <f t="shared" si="1"/>
        <v>2.7</v>
      </c>
      <c r="H14" s="10">
        <f t="shared" si="2"/>
        <v>169.43968110321052</v>
      </c>
      <c r="I14" s="10">
        <f t="shared" si="3"/>
        <v>457.48713897866844</v>
      </c>
      <c r="J14" s="12">
        <f>I14*[1]Insumos!$D$2</f>
        <v>686230.70846800262</v>
      </c>
      <c r="K14" s="13">
        <f t="shared" si="0"/>
        <v>2.2128109460381462E-3</v>
      </c>
    </row>
    <row r="15" spans="1:11" x14ac:dyDescent="0.2">
      <c r="A15" s="9" t="s">
        <v>27</v>
      </c>
      <c r="B15" s="9" t="s">
        <v>28</v>
      </c>
      <c r="C15" s="10">
        <v>15.38</v>
      </c>
      <c r="D15" s="10">
        <v>1.2</v>
      </c>
      <c r="E15" s="10">
        <f t="shared" si="4"/>
        <v>18.456</v>
      </c>
      <c r="F15" s="11">
        <v>0</v>
      </c>
      <c r="G15" s="10">
        <f t="shared" si="1"/>
        <v>0</v>
      </c>
      <c r="H15" s="10">
        <f t="shared" si="2"/>
        <v>0</v>
      </c>
      <c r="I15" s="10">
        <f t="shared" si="3"/>
        <v>0</v>
      </c>
      <c r="J15" s="12">
        <f>I15*[1]Insumos!$D$2</f>
        <v>0</v>
      </c>
      <c r="K15" s="13">
        <f t="shared" si="0"/>
        <v>0</v>
      </c>
    </row>
    <row r="16" spans="1:11" ht="15.75" x14ac:dyDescent="0.25">
      <c r="A16" s="7"/>
      <c r="B16" s="5" t="s">
        <v>29</v>
      </c>
      <c r="C16" s="8"/>
      <c r="D16" s="8"/>
      <c r="E16" s="1"/>
      <c r="F16" s="16"/>
      <c r="G16" s="1">
        <f>SUM(G17:G40)</f>
        <v>156.97549999999998</v>
      </c>
      <c r="H16" s="1"/>
      <c r="I16" s="1">
        <f>SUM(I17:I40)</f>
        <v>29858.745323848307</v>
      </c>
      <c r="J16" s="1">
        <f>I16*[1]Insumos!$D$2</f>
        <v>44788117.985772461</v>
      </c>
      <c r="K16" s="6">
        <f t="shared" si="0"/>
        <v>0.14442320419122781</v>
      </c>
    </row>
    <row r="17" spans="1:11" x14ac:dyDescent="0.2">
      <c r="A17" s="9" t="s">
        <v>30</v>
      </c>
      <c r="B17" s="9" t="s">
        <v>31</v>
      </c>
      <c r="C17" s="10">
        <v>8.6</v>
      </c>
      <c r="D17" s="10">
        <v>0.05</v>
      </c>
      <c r="E17" s="10">
        <v>0</v>
      </c>
      <c r="F17" s="11">
        <v>5</v>
      </c>
      <c r="G17" s="10">
        <f>E17*F17</f>
        <v>0</v>
      </c>
      <c r="H17" s="10">
        <f t="shared" ref="H17:H40" si="5">D17*F17*$B$1</f>
        <v>42.359920275802629</v>
      </c>
      <c r="I17" s="10">
        <f>H17*C17</f>
        <v>364.29531437190258</v>
      </c>
      <c r="J17" s="12">
        <f>I17*[1]Insumos!$D$2</f>
        <v>546442.97155785386</v>
      </c>
      <c r="K17" s="13">
        <f t="shared" si="0"/>
        <v>1.7620531607340792E-3</v>
      </c>
    </row>
    <row r="18" spans="1:11" x14ac:dyDescent="0.2">
      <c r="A18" s="9"/>
      <c r="B18" s="9" t="s">
        <v>32</v>
      </c>
      <c r="C18" s="10">
        <v>0</v>
      </c>
      <c r="D18" s="10">
        <v>0</v>
      </c>
      <c r="E18" s="10">
        <f t="shared" ref="E18:E31" si="6">C18*D18</f>
        <v>0</v>
      </c>
      <c r="F18" s="11">
        <v>0</v>
      </c>
      <c r="G18" s="10">
        <f>E18*F18</f>
        <v>0</v>
      </c>
      <c r="H18" s="10">
        <f>D18*F18*$B$1</f>
        <v>0</v>
      </c>
      <c r="I18" s="10">
        <f>H18*C18</f>
        <v>0</v>
      </c>
      <c r="J18" s="12">
        <f>I18*[1]Insumos!$D$2</f>
        <v>0</v>
      </c>
      <c r="K18" s="13">
        <f t="shared" si="0"/>
        <v>0</v>
      </c>
    </row>
    <row r="19" spans="1:11" x14ac:dyDescent="0.2">
      <c r="A19" s="9"/>
      <c r="B19" s="9" t="s">
        <v>33</v>
      </c>
      <c r="C19" s="10">
        <v>6.65</v>
      </c>
      <c r="D19" s="10">
        <v>0.7</v>
      </c>
      <c r="E19" s="10">
        <f t="shared" si="6"/>
        <v>4.6550000000000002</v>
      </c>
      <c r="F19" s="11">
        <v>0</v>
      </c>
      <c r="G19" s="10">
        <f t="shared" ref="G19:G25" si="7">E19*F19</f>
        <v>0</v>
      </c>
      <c r="H19" s="10">
        <f t="shared" si="5"/>
        <v>0</v>
      </c>
      <c r="I19" s="10">
        <f t="shared" ref="I19:I25" si="8">H19*C19</f>
        <v>0</v>
      </c>
      <c r="J19" s="12">
        <f>I19*[1]Insumos!$D$2</f>
        <v>0</v>
      </c>
      <c r="K19" s="13">
        <f t="shared" si="0"/>
        <v>0</v>
      </c>
    </row>
    <row r="20" spans="1:11" x14ac:dyDescent="0.2">
      <c r="A20" s="9" t="s">
        <v>34</v>
      </c>
      <c r="B20" s="4" t="s">
        <v>35</v>
      </c>
      <c r="C20" s="10">
        <v>40.049999999999997</v>
      </c>
      <c r="D20" s="10">
        <v>0.5</v>
      </c>
      <c r="E20" s="10">
        <f t="shared" si="6"/>
        <v>20.024999999999999</v>
      </c>
      <c r="F20" s="11">
        <v>0</v>
      </c>
      <c r="G20" s="10">
        <f t="shared" si="7"/>
        <v>0</v>
      </c>
      <c r="H20" s="10">
        <f t="shared" si="5"/>
        <v>0</v>
      </c>
      <c r="I20" s="10">
        <f t="shared" si="8"/>
        <v>0</v>
      </c>
      <c r="J20" s="12">
        <f>I20*[1]Insumos!$D$2</f>
        <v>0</v>
      </c>
      <c r="K20" s="13">
        <f t="shared" si="0"/>
        <v>0</v>
      </c>
    </row>
    <row r="21" spans="1:11" x14ac:dyDescent="0.2">
      <c r="A21" s="9" t="s">
        <v>36</v>
      </c>
      <c r="B21" s="9" t="s">
        <v>37</v>
      </c>
      <c r="C21" s="10">
        <v>12.1</v>
      </c>
      <c r="D21" s="10">
        <v>0.7</v>
      </c>
      <c r="E21" s="10">
        <f t="shared" si="6"/>
        <v>8.4699999999999989</v>
      </c>
      <c r="F21" s="11">
        <v>0</v>
      </c>
      <c r="G21" s="10">
        <f t="shared" si="7"/>
        <v>0</v>
      </c>
      <c r="H21" s="10">
        <f t="shared" si="5"/>
        <v>0</v>
      </c>
      <c r="I21" s="10">
        <f t="shared" si="8"/>
        <v>0</v>
      </c>
      <c r="J21" s="12">
        <f>I21*[1]Insumos!$D$2</f>
        <v>0</v>
      </c>
      <c r="K21" s="13">
        <f t="shared" si="0"/>
        <v>0</v>
      </c>
    </row>
    <row r="22" spans="1:11" x14ac:dyDescent="0.2">
      <c r="A22" s="9"/>
      <c r="B22" s="9" t="s">
        <v>38</v>
      </c>
      <c r="C22" s="10">
        <v>6.05</v>
      </c>
      <c r="D22" s="10">
        <v>0.8</v>
      </c>
      <c r="E22" s="10">
        <f t="shared" si="6"/>
        <v>4.84</v>
      </c>
      <c r="F22" s="11">
        <v>0</v>
      </c>
      <c r="G22" s="10">
        <f t="shared" si="7"/>
        <v>0</v>
      </c>
      <c r="H22" s="10">
        <f t="shared" si="5"/>
        <v>0</v>
      </c>
      <c r="I22" s="10">
        <f t="shared" si="8"/>
        <v>0</v>
      </c>
      <c r="J22" s="12">
        <f>I22*[1]Insumos!$D$2</f>
        <v>0</v>
      </c>
      <c r="K22" s="13">
        <f t="shared" si="0"/>
        <v>0</v>
      </c>
    </row>
    <row r="23" spans="1:11" x14ac:dyDescent="0.2">
      <c r="A23" s="9" t="s">
        <v>39</v>
      </c>
      <c r="B23" s="9" t="s">
        <v>40</v>
      </c>
      <c r="C23" s="10">
        <v>9.8699999999999992</v>
      </c>
      <c r="D23" s="10">
        <v>0.25</v>
      </c>
      <c r="E23" s="10">
        <f t="shared" si="6"/>
        <v>2.4674999999999998</v>
      </c>
      <c r="F23" s="11">
        <v>5</v>
      </c>
      <c r="G23" s="10">
        <f t="shared" si="7"/>
        <v>12.337499999999999</v>
      </c>
      <c r="H23" s="10">
        <f t="shared" si="5"/>
        <v>211.79960137901315</v>
      </c>
      <c r="I23" s="10">
        <f t="shared" si="8"/>
        <v>2090.4620656108596</v>
      </c>
      <c r="J23" s="12">
        <f>I23*[1]Insumos!$D$2</f>
        <v>3135693.0984162893</v>
      </c>
      <c r="K23" s="13">
        <f t="shared" si="0"/>
        <v>1.0111316683979861E-2</v>
      </c>
    </row>
    <row r="24" spans="1:11" x14ac:dyDescent="0.2">
      <c r="A24" s="9" t="s">
        <v>41</v>
      </c>
      <c r="B24" s="9" t="s">
        <v>42</v>
      </c>
      <c r="C24" s="10">
        <v>29.9</v>
      </c>
      <c r="D24" s="10">
        <v>0.03</v>
      </c>
      <c r="E24" s="10">
        <f t="shared" si="6"/>
        <v>0.89699999999999991</v>
      </c>
      <c r="F24" s="11">
        <v>3</v>
      </c>
      <c r="G24" s="10">
        <f t="shared" si="7"/>
        <v>2.6909999999999998</v>
      </c>
      <c r="H24" s="10">
        <f t="shared" si="5"/>
        <v>15.249571299288945</v>
      </c>
      <c r="I24" s="10">
        <f t="shared" si="8"/>
        <v>455.96218184873942</v>
      </c>
      <c r="J24" s="12">
        <f>I24*[1]Insumos!$D$2</f>
        <v>683943.27277310914</v>
      </c>
      <c r="K24" s="13">
        <f t="shared" si="0"/>
        <v>2.2054349095513518E-3</v>
      </c>
    </row>
    <row r="25" spans="1:11" x14ac:dyDescent="0.2">
      <c r="A25" s="9" t="s">
        <v>43</v>
      </c>
      <c r="B25" s="14" t="s">
        <v>44</v>
      </c>
      <c r="C25" s="10">
        <v>35</v>
      </c>
      <c r="D25" s="10">
        <v>0.15</v>
      </c>
      <c r="E25" s="10">
        <f t="shared" si="6"/>
        <v>5.25</v>
      </c>
      <c r="F25" s="11">
        <v>4</v>
      </c>
      <c r="G25" s="10">
        <f t="shared" si="7"/>
        <v>21</v>
      </c>
      <c r="H25" s="10">
        <f t="shared" si="5"/>
        <v>101.66380866192631</v>
      </c>
      <c r="I25" s="10">
        <f t="shared" si="8"/>
        <v>3558.2333031674207</v>
      </c>
      <c r="J25" s="12">
        <f>I25*[1]Insumos!$D$2</f>
        <v>5337349.9547511311</v>
      </c>
      <c r="K25" s="13">
        <f t="shared" si="0"/>
        <v>1.7210751802518916E-2</v>
      </c>
    </row>
    <row r="26" spans="1:11" x14ac:dyDescent="0.2">
      <c r="A26" s="9"/>
      <c r="B26" s="14" t="s">
        <v>45</v>
      </c>
      <c r="C26" s="10">
        <v>36.4</v>
      </c>
      <c r="D26" s="10">
        <v>0.1</v>
      </c>
      <c r="E26" s="10">
        <f t="shared" si="6"/>
        <v>3.64</v>
      </c>
      <c r="F26" s="11">
        <v>0</v>
      </c>
      <c r="G26" s="10">
        <f>E26*F26</f>
        <v>0</v>
      </c>
      <c r="H26" s="10">
        <f>D26*F26*$B$1</f>
        <v>0</v>
      </c>
      <c r="I26" s="10">
        <f>H26*C26</f>
        <v>0</v>
      </c>
      <c r="J26" s="12">
        <f>I26*[1]Insumos!$D$2</f>
        <v>0</v>
      </c>
      <c r="K26" s="13">
        <f t="shared" si="0"/>
        <v>0</v>
      </c>
    </row>
    <row r="27" spans="1:11" x14ac:dyDescent="0.2">
      <c r="A27" s="9"/>
      <c r="B27" s="14" t="s">
        <v>46</v>
      </c>
      <c r="C27" s="10">
        <v>14.5</v>
      </c>
      <c r="D27" s="10">
        <v>0.13</v>
      </c>
      <c r="E27" s="10">
        <f t="shared" si="6"/>
        <v>1.885</v>
      </c>
      <c r="F27" s="11">
        <v>0</v>
      </c>
      <c r="G27" s="10">
        <f t="shared" ref="G27:G33" si="9">E27*F27</f>
        <v>0</v>
      </c>
      <c r="H27" s="10">
        <f t="shared" ref="H27:H33" si="10">D27*F27*$B$1</f>
        <v>0</v>
      </c>
      <c r="I27" s="10">
        <f t="shared" ref="I27:I40" si="11">H27*C27</f>
        <v>0</v>
      </c>
      <c r="J27" s="12">
        <f>I27*[1]Insumos!$D$2</f>
        <v>0</v>
      </c>
      <c r="K27" s="13">
        <f t="shared" si="0"/>
        <v>0</v>
      </c>
    </row>
    <row r="28" spans="1:11" x14ac:dyDescent="0.2">
      <c r="A28" s="9" t="s">
        <v>47</v>
      </c>
      <c r="B28" s="9" t="s">
        <v>48</v>
      </c>
      <c r="C28" s="10">
        <v>75</v>
      </c>
      <c r="D28" s="10">
        <v>0.09</v>
      </c>
      <c r="E28" s="10">
        <f t="shared" si="6"/>
        <v>6.75</v>
      </c>
      <c r="F28" s="11">
        <v>0</v>
      </c>
      <c r="G28" s="10">
        <f t="shared" si="9"/>
        <v>0</v>
      </c>
      <c r="H28" s="10">
        <f t="shared" si="10"/>
        <v>0</v>
      </c>
      <c r="I28" s="10">
        <f t="shared" si="11"/>
        <v>0</v>
      </c>
      <c r="J28" s="12">
        <f>I28*[1]Insumos!$D$2</f>
        <v>0</v>
      </c>
      <c r="K28" s="13">
        <f t="shared" si="0"/>
        <v>0</v>
      </c>
    </row>
    <row r="29" spans="1:11" x14ac:dyDescent="0.2">
      <c r="A29" s="14" t="s">
        <v>49</v>
      </c>
      <c r="B29" s="9" t="s">
        <v>50</v>
      </c>
      <c r="C29" s="10">
        <v>26.33</v>
      </c>
      <c r="D29" s="10">
        <v>0.25</v>
      </c>
      <c r="E29" s="10">
        <f t="shared" si="6"/>
        <v>6.5824999999999996</v>
      </c>
      <c r="F29" s="11">
        <v>4</v>
      </c>
      <c r="G29" s="10">
        <f t="shared" si="9"/>
        <v>26.33</v>
      </c>
      <c r="H29" s="10">
        <f t="shared" si="10"/>
        <v>169.43968110321052</v>
      </c>
      <c r="I29" s="10">
        <f t="shared" si="11"/>
        <v>4461.3468034475327</v>
      </c>
      <c r="J29" s="12">
        <f>I29*[1]Insumos!$D$2</f>
        <v>6692020.2051712992</v>
      </c>
      <c r="K29" s="13">
        <f t="shared" si="0"/>
        <v>2.1579004521920145E-2</v>
      </c>
    </row>
    <row r="30" spans="1:11" x14ac:dyDescent="0.2">
      <c r="A30" s="9" t="s">
        <v>51</v>
      </c>
      <c r="B30" s="9" t="s">
        <v>50</v>
      </c>
      <c r="C30" s="10">
        <v>26.33</v>
      </c>
      <c r="D30" s="10">
        <v>0.25</v>
      </c>
      <c r="E30" s="10">
        <f t="shared" si="6"/>
        <v>6.5824999999999996</v>
      </c>
      <c r="F30" s="17">
        <v>0</v>
      </c>
      <c r="G30" s="10">
        <f t="shared" si="9"/>
        <v>0</v>
      </c>
      <c r="H30" s="10">
        <f t="shared" si="10"/>
        <v>0</v>
      </c>
      <c r="I30" s="10">
        <f t="shared" si="11"/>
        <v>0</v>
      </c>
      <c r="J30" s="12">
        <f>I30*[1]Insumos!$D$2</f>
        <v>0</v>
      </c>
      <c r="K30" s="13">
        <f t="shared" si="0"/>
        <v>0</v>
      </c>
    </row>
    <row r="31" spans="1:11" x14ac:dyDescent="0.2">
      <c r="A31" s="9" t="s">
        <v>52</v>
      </c>
      <c r="B31" s="9" t="s">
        <v>53</v>
      </c>
      <c r="C31" s="10">
        <v>82</v>
      </c>
      <c r="D31" s="10">
        <v>0.5</v>
      </c>
      <c r="E31" s="10">
        <f t="shared" si="6"/>
        <v>41</v>
      </c>
      <c r="F31" s="11">
        <v>0</v>
      </c>
      <c r="G31" s="10">
        <f t="shared" si="9"/>
        <v>0</v>
      </c>
      <c r="H31" s="10">
        <f t="shared" si="10"/>
        <v>0</v>
      </c>
      <c r="I31" s="10">
        <f t="shared" si="11"/>
        <v>0</v>
      </c>
      <c r="J31" s="12">
        <f>I31*[1]Insumos!$D$2</f>
        <v>0</v>
      </c>
      <c r="K31" s="13">
        <f t="shared" si="0"/>
        <v>0</v>
      </c>
    </row>
    <row r="32" spans="1:11" x14ac:dyDescent="0.2">
      <c r="A32" s="9" t="s">
        <v>54</v>
      </c>
      <c r="B32" s="18" t="s">
        <v>55</v>
      </c>
      <c r="C32" s="10">
        <v>279.77999999999997</v>
      </c>
      <c r="D32" s="10">
        <v>0.15</v>
      </c>
      <c r="E32" s="10">
        <f>C32*D32</f>
        <v>41.966999999999992</v>
      </c>
      <c r="F32" s="17">
        <v>1</v>
      </c>
      <c r="G32" s="10">
        <f>E32*F32</f>
        <v>41.966999999999992</v>
      </c>
      <c r="H32" s="10">
        <f>D32*F32*$B$1</f>
        <v>25.415952165481578</v>
      </c>
      <c r="I32" s="10">
        <f>H32*C32</f>
        <v>7110.8750968584354</v>
      </c>
      <c r="J32" s="12">
        <f>I32*[1]Insumos!$D$2</f>
        <v>10666312.645287653</v>
      </c>
      <c r="K32" s="13">
        <f t="shared" si="0"/>
        <v>3.4394458137919581E-2</v>
      </c>
    </row>
    <row r="33" spans="1:11" x14ac:dyDescent="0.2">
      <c r="A33" s="9" t="s">
        <v>56</v>
      </c>
      <c r="B33" s="9" t="s">
        <v>57</v>
      </c>
      <c r="C33" s="10">
        <v>10</v>
      </c>
      <c r="D33" s="10">
        <v>7.0000000000000007E-2</v>
      </c>
      <c r="E33" s="10">
        <v>0</v>
      </c>
      <c r="F33" s="11">
        <v>3</v>
      </c>
      <c r="G33" s="10">
        <f t="shared" si="9"/>
        <v>0</v>
      </c>
      <c r="H33" s="10">
        <f t="shared" si="10"/>
        <v>35.58233303167421</v>
      </c>
      <c r="I33" s="10">
        <f t="shared" si="11"/>
        <v>355.8233303167421</v>
      </c>
      <c r="J33" s="12">
        <f>I33*[1]Insumos!$D$2</f>
        <v>533734.99547511316</v>
      </c>
      <c r="K33" s="13">
        <f t="shared" si="0"/>
        <v>1.7210751802518916E-3</v>
      </c>
    </row>
    <row r="34" spans="1:11" x14ac:dyDescent="0.2">
      <c r="A34" s="9" t="s">
        <v>58</v>
      </c>
      <c r="B34" s="9" t="s">
        <v>59</v>
      </c>
      <c r="C34" s="10">
        <v>25</v>
      </c>
      <c r="D34" s="10">
        <v>0.5</v>
      </c>
      <c r="E34" s="10">
        <v>0</v>
      </c>
      <c r="F34" s="11">
        <v>1</v>
      </c>
      <c r="G34" s="10">
        <f>E35*F34</f>
        <v>0</v>
      </c>
      <c r="H34" s="10">
        <f t="shared" si="5"/>
        <v>84.719840551605259</v>
      </c>
      <c r="I34" s="10">
        <f t="shared" si="11"/>
        <v>2117.9960137901317</v>
      </c>
      <c r="J34" s="12">
        <f>I34*[1]Insumos!$D$2</f>
        <v>3176994.0206851973</v>
      </c>
      <c r="K34" s="13">
        <f t="shared" si="0"/>
        <v>1.0244495120546973E-2</v>
      </c>
    </row>
    <row r="35" spans="1:11" x14ac:dyDescent="0.2">
      <c r="A35" s="9" t="s">
        <v>60</v>
      </c>
      <c r="B35" s="9" t="s">
        <v>61</v>
      </c>
      <c r="C35" s="10">
        <v>146</v>
      </c>
      <c r="D35" s="10">
        <v>0.15</v>
      </c>
      <c r="E35" s="10">
        <v>0</v>
      </c>
      <c r="F35" s="11">
        <v>1</v>
      </c>
      <c r="G35" s="10">
        <f>E37*F35</f>
        <v>11.969999999999999</v>
      </c>
      <c r="H35" s="10">
        <f t="shared" si="5"/>
        <v>25.415952165481578</v>
      </c>
      <c r="I35" s="10">
        <f t="shared" si="11"/>
        <v>3710.7290161603105</v>
      </c>
      <c r="J35" s="12">
        <f>I35*[1]Insumos!$D$2</f>
        <v>5566093.5242404658</v>
      </c>
      <c r="K35" s="13">
        <f t="shared" si="0"/>
        <v>1.7948355451198297E-2</v>
      </c>
    </row>
    <row r="36" spans="1:11" x14ac:dyDescent="0.2">
      <c r="A36" s="9" t="s">
        <v>62</v>
      </c>
      <c r="B36" s="9" t="s">
        <v>63</v>
      </c>
      <c r="C36" s="10">
        <v>14.9</v>
      </c>
      <c r="D36" s="10">
        <v>0.25</v>
      </c>
      <c r="E36" s="10">
        <v>0</v>
      </c>
      <c r="F36" s="11">
        <v>1</v>
      </c>
      <c r="G36" s="10">
        <f>E40*F36</f>
        <v>11.16</v>
      </c>
      <c r="H36" s="10">
        <f>D36*F36*$B$1</f>
        <v>42.359920275802629</v>
      </c>
      <c r="I36" s="10">
        <f t="shared" si="11"/>
        <v>631.1628121094592</v>
      </c>
      <c r="J36" s="12">
        <f>I36*[1]Insumos!$D$2</f>
        <v>946744.21816418879</v>
      </c>
      <c r="K36" s="13">
        <f t="shared" si="0"/>
        <v>3.052859545922998E-3</v>
      </c>
    </row>
    <row r="37" spans="1:11" x14ac:dyDescent="0.2">
      <c r="A37" s="9" t="s">
        <v>64</v>
      </c>
      <c r="B37" s="9" t="s">
        <v>65</v>
      </c>
      <c r="C37" s="10">
        <v>79.8</v>
      </c>
      <c r="D37" s="10">
        <v>0.15</v>
      </c>
      <c r="E37" s="10">
        <f>C37*D37</f>
        <v>11.969999999999999</v>
      </c>
      <c r="F37" s="11">
        <v>2</v>
      </c>
      <c r="G37" s="10">
        <f>E37*F37</f>
        <v>23.939999999999998</v>
      </c>
      <c r="H37" s="10">
        <f t="shared" si="5"/>
        <v>50.831904330963155</v>
      </c>
      <c r="I37" s="10">
        <f t="shared" si="11"/>
        <v>4056.3859656108598</v>
      </c>
      <c r="J37" s="12">
        <f>I37*[1]Insumos!$D$2</f>
        <v>6084578.9484162899</v>
      </c>
      <c r="K37" s="13">
        <f t="shared" si="0"/>
        <v>1.9620257054871564E-2</v>
      </c>
    </row>
    <row r="38" spans="1:11" x14ac:dyDescent="0.2">
      <c r="A38" s="9"/>
      <c r="B38" s="9" t="s">
        <v>66</v>
      </c>
      <c r="C38" s="10">
        <v>11.5</v>
      </c>
      <c r="D38" s="10"/>
      <c r="E38" s="10"/>
      <c r="F38" s="11"/>
      <c r="G38" s="10"/>
      <c r="H38" s="10"/>
      <c r="I38" s="10"/>
      <c r="J38" s="12"/>
      <c r="K38" s="13"/>
    </row>
    <row r="39" spans="1:11" x14ac:dyDescent="0.2">
      <c r="A39" s="9" t="s">
        <v>67</v>
      </c>
      <c r="B39" s="9" t="s">
        <v>68</v>
      </c>
      <c r="C39" s="10">
        <v>18.600000000000001</v>
      </c>
      <c r="D39" s="10">
        <v>0.6</v>
      </c>
      <c r="E39" s="10">
        <f>C39*D39</f>
        <v>11.16</v>
      </c>
      <c r="F39" s="11">
        <v>0.5</v>
      </c>
      <c r="G39" s="10">
        <f>E39*F39</f>
        <v>5.58</v>
      </c>
      <c r="H39" s="10">
        <f>D39*F39*$B$1</f>
        <v>50.831904330963155</v>
      </c>
      <c r="I39" s="10">
        <f t="shared" si="11"/>
        <v>945.4734205559148</v>
      </c>
      <c r="J39" s="12">
        <f>I39*[1]Insumos!$D$2</f>
        <v>1418210.1308338721</v>
      </c>
      <c r="K39" s="13">
        <f t="shared" ref="K39:K64" si="12">J39/$J$88</f>
        <v>4.5731426218121691E-3</v>
      </c>
    </row>
    <row r="40" spans="1:11" x14ac:dyDescent="0.2">
      <c r="A40" s="9" t="s">
        <v>69</v>
      </c>
      <c r="B40" s="9" t="s">
        <v>70</v>
      </c>
      <c r="C40" s="10">
        <v>18.600000000000001</v>
      </c>
      <c r="D40" s="10">
        <v>0.6</v>
      </c>
      <c r="E40" s="10">
        <f>C40*D40</f>
        <v>11.16</v>
      </c>
      <c r="F40" s="11">
        <v>0</v>
      </c>
      <c r="G40" s="10">
        <f>E40*F40</f>
        <v>0</v>
      </c>
      <c r="H40" s="10">
        <f t="shared" si="5"/>
        <v>0</v>
      </c>
      <c r="I40" s="10">
        <f t="shared" si="11"/>
        <v>0</v>
      </c>
      <c r="J40" s="12">
        <f>I40*[1]Insumos!$D$2</f>
        <v>0</v>
      </c>
      <c r="K40" s="13">
        <f t="shared" si="12"/>
        <v>0</v>
      </c>
    </row>
    <row r="41" spans="1:11" ht="15.75" x14ac:dyDescent="0.25">
      <c r="A41" s="7"/>
      <c r="B41" s="5" t="s">
        <v>71</v>
      </c>
      <c r="C41" s="8"/>
      <c r="D41" s="8"/>
      <c r="E41" s="1"/>
      <c r="F41" s="16">
        <f>SUM(F17:F40)</f>
        <v>30.5</v>
      </c>
      <c r="G41" s="1">
        <f>SUM(G42:G61)</f>
        <v>330.84900000000005</v>
      </c>
      <c r="H41" s="8"/>
      <c r="I41" s="1">
        <f>SUM(I42:I61)</f>
        <v>56058.949053316093</v>
      </c>
      <c r="J41" s="1">
        <f>I41*[1]Insumos!$D$2</f>
        <v>84088423.579974145</v>
      </c>
      <c r="K41" s="6">
        <f t="shared" si="12"/>
        <v>0.27115047729102765</v>
      </c>
    </row>
    <row r="42" spans="1:11" x14ac:dyDescent="0.2">
      <c r="A42" s="9" t="s">
        <v>72</v>
      </c>
      <c r="B42" s="9" t="s">
        <v>73</v>
      </c>
      <c r="C42" s="10">
        <v>8.16</v>
      </c>
      <c r="D42" s="10">
        <v>1.3</v>
      </c>
      <c r="E42" s="10">
        <f t="shared" ref="E42:E59" si="13">C42*D42</f>
        <v>10.608000000000001</v>
      </c>
      <c r="F42" s="11">
        <v>2</v>
      </c>
      <c r="G42" s="10">
        <f t="shared" ref="G42:G60" si="14">E42*F42</f>
        <v>21.216000000000001</v>
      </c>
      <c r="H42" s="10">
        <f t="shared" ref="H42:H60" si="15">D42*F42*$B$1</f>
        <v>440.54317086834737</v>
      </c>
      <c r="I42" s="10">
        <f t="shared" ref="I42:I60" si="16">H42*C42</f>
        <v>3594.8322742857144</v>
      </c>
      <c r="J42" s="12">
        <f>I42*[1]Insumos!$D$2</f>
        <v>5392248.4114285717</v>
      </c>
      <c r="K42" s="13">
        <f t="shared" si="12"/>
        <v>1.7387776678201967E-2</v>
      </c>
    </row>
    <row r="43" spans="1:11" x14ac:dyDescent="0.2">
      <c r="A43" s="9"/>
      <c r="B43" s="9" t="s">
        <v>73</v>
      </c>
      <c r="C43" s="10">
        <v>6.94</v>
      </c>
      <c r="D43" s="10">
        <v>1.3</v>
      </c>
      <c r="E43" s="10">
        <f t="shared" si="13"/>
        <v>9.0220000000000002</v>
      </c>
      <c r="F43" s="11">
        <v>2</v>
      </c>
      <c r="G43" s="10">
        <f>E43*F43</f>
        <v>18.044</v>
      </c>
      <c r="H43" s="10">
        <f>D43*F43*$B$1</f>
        <v>440.54317086834737</v>
      </c>
      <c r="I43" s="10">
        <f>H43*C43</f>
        <v>3057.3696058263308</v>
      </c>
      <c r="J43" s="12">
        <f>I43*[1]Insumos!$D$2</f>
        <v>4586054.408739496</v>
      </c>
      <c r="K43" s="13">
        <f t="shared" si="12"/>
        <v>1.4788133596411967E-2</v>
      </c>
    </row>
    <row r="44" spans="1:11" x14ac:dyDescent="0.2">
      <c r="A44" s="14" t="s">
        <v>74</v>
      </c>
      <c r="B44" s="9" t="s">
        <v>75</v>
      </c>
      <c r="C44" s="10">
        <v>6.1</v>
      </c>
      <c r="D44" s="10">
        <v>1.5</v>
      </c>
      <c r="E44" s="10">
        <f t="shared" si="13"/>
        <v>9.1499999999999986</v>
      </c>
      <c r="F44" s="11">
        <v>0</v>
      </c>
      <c r="G44" s="10">
        <f t="shared" si="14"/>
        <v>0</v>
      </c>
      <c r="H44" s="10">
        <f t="shared" si="15"/>
        <v>0</v>
      </c>
      <c r="I44" s="10">
        <f t="shared" si="16"/>
        <v>0</v>
      </c>
      <c r="J44" s="12">
        <f>I44*[1]Insumos!$D$2</f>
        <v>0</v>
      </c>
      <c r="K44" s="13">
        <f t="shared" si="12"/>
        <v>0</v>
      </c>
    </row>
    <row r="45" spans="1:11" x14ac:dyDescent="0.2">
      <c r="A45" s="14" t="s">
        <v>76</v>
      </c>
      <c r="B45" s="9" t="s">
        <v>75</v>
      </c>
      <c r="C45" s="10">
        <f>C44</f>
        <v>6.1</v>
      </c>
      <c r="D45" s="10">
        <v>2</v>
      </c>
      <c r="E45" s="10">
        <f t="shared" si="13"/>
        <v>12.2</v>
      </c>
      <c r="F45" s="11">
        <v>0</v>
      </c>
      <c r="G45" s="10">
        <f t="shared" si="14"/>
        <v>0</v>
      </c>
      <c r="H45" s="10">
        <f t="shared" si="15"/>
        <v>0</v>
      </c>
      <c r="I45" s="10">
        <f t="shared" si="16"/>
        <v>0</v>
      </c>
      <c r="J45" s="12">
        <f>I45*[1]Insumos!$D$2</f>
        <v>0</v>
      </c>
      <c r="K45" s="13">
        <f t="shared" si="12"/>
        <v>0</v>
      </c>
    </row>
    <row r="46" spans="1:11" x14ac:dyDescent="0.2">
      <c r="A46" s="9"/>
      <c r="B46" s="9" t="s">
        <v>75</v>
      </c>
      <c r="C46" s="10">
        <f>C45</f>
        <v>6.1</v>
      </c>
      <c r="D46" s="10">
        <v>2.5</v>
      </c>
      <c r="E46" s="10">
        <f t="shared" si="13"/>
        <v>15.25</v>
      </c>
      <c r="F46" s="11">
        <v>4</v>
      </c>
      <c r="G46" s="10">
        <f t="shared" si="14"/>
        <v>61</v>
      </c>
      <c r="H46" s="10">
        <f t="shared" si="15"/>
        <v>1694.3968110321052</v>
      </c>
      <c r="I46" s="10">
        <f t="shared" si="16"/>
        <v>10335.820547295842</v>
      </c>
      <c r="J46" s="12">
        <f>I46*[1]Insumos!$D$2</f>
        <v>15503730.820943762</v>
      </c>
      <c r="K46" s="13">
        <f t="shared" si="12"/>
        <v>4.9993136188269227E-2</v>
      </c>
    </row>
    <row r="47" spans="1:11" x14ac:dyDescent="0.2">
      <c r="A47" s="9" t="s">
        <v>77</v>
      </c>
      <c r="B47" s="9" t="s">
        <v>78</v>
      </c>
      <c r="C47" s="10">
        <v>34.5</v>
      </c>
      <c r="D47" s="10">
        <v>2.5</v>
      </c>
      <c r="E47" s="10">
        <f t="shared" si="13"/>
        <v>86.25</v>
      </c>
      <c r="F47" s="11">
        <v>0</v>
      </c>
      <c r="G47" s="10">
        <f>E47*F47</f>
        <v>0</v>
      </c>
      <c r="H47" s="10">
        <f>D47*F47*$B$1</f>
        <v>0</v>
      </c>
      <c r="I47" s="10">
        <f>H47*C47</f>
        <v>0</v>
      </c>
      <c r="J47" s="12">
        <f>I47*[1]Insumos!$D$2</f>
        <v>0</v>
      </c>
      <c r="K47" s="13">
        <f t="shared" si="12"/>
        <v>0</v>
      </c>
    </row>
    <row r="48" spans="1:11" x14ac:dyDescent="0.2">
      <c r="A48" s="9" t="s">
        <v>79</v>
      </c>
      <c r="B48" s="9" t="s">
        <v>80</v>
      </c>
      <c r="C48" s="10">
        <v>17.86</v>
      </c>
      <c r="D48" s="10">
        <v>1.3</v>
      </c>
      <c r="E48" s="10">
        <f t="shared" si="13"/>
        <v>23.218</v>
      </c>
      <c r="F48" s="11">
        <v>0</v>
      </c>
      <c r="G48" s="10">
        <f t="shared" si="14"/>
        <v>0</v>
      </c>
      <c r="H48" s="10">
        <f t="shared" si="15"/>
        <v>0</v>
      </c>
      <c r="I48" s="10">
        <f t="shared" si="16"/>
        <v>0</v>
      </c>
      <c r="J48" s="12">
        <f>I48*[1]Insumos!$D$2</f>
        <v>0</v>
      </c>
      <c r="K48" s="13">
        <f t="shared" si="12"/>
        <v>0</v>
      </c>
    </row>
    <row r="49" spans="1:11" x14ac:dyDescent="0.2">
      <c r="A49" s="9" t="s">
        <v>81</v>
      </c>
      <c r="B49" s="9" t="s">
        <v>82</v>
      </c>
      <c r="C49" s="10">
        <v>6.7</v>
      </c>
      <c r="D49" s="10">
        <v>2</v>
      </c>
      <c r="E49" s="10">
        <f t="shared" si="13"/>
        <v>13.4</v>
      </c>
      <c r="F49" s="11">
        <v>0</v>
      </c>
      <c r="G49" s="10">
        <f t="shared" si="14"/>
        <v>0</v>
      </c>
      <c r="H49" s="10">
        <f t="shared" si="15"/>
        <v>0</v>
      </c>
      <c r="I49" s="10">
        <f t="shared" si="16"/>
        <v>0</v>
      </c>
      <c r="J49" s="12">
        <f>I49*[1]Insumos!$D$2</f>
        <v>0</v>
      </c>
      <c r="K49" s="13">
        <f t="shared" si="12"/>
        <v>0</v>
      </c>
    </row>
    <row r="50" spans="1:11" x14ac:dyDescent="0.2">
      <c r="A50" s="9" t="s">
        <v>83</v>
      </c>
      <c r="B50" s="14" t="s">
        <v>84</v>
      </c>
      <c r="C50" s="10">
        <v>20.14</v>
      </c>
      <c r="D50" s="10">
        <v>2</v>
      </c>
      <c r="E50" s="10">
        <f t="shared" si="13"/>
        <v>40.28</v>
      </c>
      <c r="F50" s="11">
        <v>1</v>
      </c>
      <c r="G50" s="10">
        <f t="shared" si="14"/>
        <v>40.28</v>
      </c>
      <c r="H50" s="10">
        <f t="shared" si="15"/>
        <v>338.87936220642104</v>
      </c>
      <c r="I50" s="10">
        <f t="shared" si="16"/>
        <v>6825.0303548373195</v>
      </c>
      <c r="J50" s="12">
        <f>I50*[1]Insumos!$D$2</f>
        <v>10237545.532255979</v>
      </c>
      <c r="K50" s="13">
        <f t="shared" si="12"/>
        <v>3.3011861076450565E-2</v>
      </c>
    </row>
    <row r="51" spans="1:11" x14ac:dyDescent="0.2">
      <c r="A51" s="9" t="s">
        <v>85</v>
      </c>
      <c r="B51" s="14" t="s">
        <v>84</v>
      </c>
      <c r="C51" s="10">
        <v>16.850000000000001</v>
      </c>
      <c r="D51" s="10">
        <v>2</v>
      </c>
      <c r="E51" s="10">
        <f t="shared" si="13"/>
        <v>33.700000000000003</v>
      </c>
      <c r="F51" s="11">
        <v>0</v>
      </c>
      <c r="G51" s="10">
        <f t="shared" si="14"/>
        <v>0</v>
      </c>
      <c r="H51" s="10">
        <f t="shared" si="15"/>
        <v>0</v>
      </c>
      <c r="I51" s="10">
        <f t="shared" si="16"/>
        <v>0</v>
      </c>
      <c r="J51" s="12">
        <f>I51*[1]Insumos!$D$2</f>
        <v>0</v>
      </c>
      <c r="K51" s="13">
        <f t="shared" si="12"/>
        <v>0</v>
      </c>
    </row>
    <row r="52" spans="1:11" x14ac:dyDescent="0.2">
      <c r="A52" s="9" t="s">
        <v>86</v>
      </c>
      <c r="B52" s="9" t="s">
        <v>87</v>
      </c>
      <c r="C52" s="10">
        <v>34.24</v>
      </c>
      <c r="D52" s="10">
        <v>0.6</v>
      </c>
      <c r="E52" s="10">
        <f t="shared" si="13"/>
        <v>20.544</v>
      </c>
      <c r="F52" s="15">
        <v>0.5</v>
      </c>
      <c r="G52" s="10">
        <f t="shared" si="14"/>
        <v>10.272</v>
      </c>
      <c r="H52" s="10">
        <f t="shared" si="15"/>
        <v>50.831904330963155</v>
      </c>
      <c r="I52" s="10">
        <f t="shared" si="16"/>
        <v>1740.4844042921786</v>
      </c>
      <c r="J52" s="12">
        <f>I52*[1]Insumos!$D$2</f>
        <v>2610726.606438268</v>
      </c>
      <c r="K52" s="13">
        <f t="shared" si="12"/>
        <v>8.4185163102606809E-3</v>
      </c>
    </row>
    <row r="53" spans="1:11" x14ac:dyDescent="0.2">
      <c r="A53" s="9"/>
      <c r="B53" s="9" t="s">
        <v>88</v>
      </c>
      <c r="C53" s="10">
        <v>23</v>
      </c>
      <c r="D53" s="10">
        <v>1.3</v>
      </c>
      <c r="E53" s="10">
        <f t="shared" si="13"/>
        <v>29.900000000000002</v>
      </c>
      <c r="F53" s="11">
        <v>0</v>
      </c>
      <c r="G53" s="10">
        <f t="shared" si="14"/>
        <v>0</v>
      </c>
      <c r="H53" s="10">
        <f t="shared" si="15"/>
        <v>0</v>
      </c>
      <c r="I53" s="10">
        <f t="shared" si="16"/>
        <v>0</v>
      </c>
      <c r="J53" s="12">
        <f>I53*[1]Insumos!$D$2</f>
        <v>0</v>
      </c>
      <c r="K53" s="13">
        <f t="shared" si="12"/>
        <v>0</v>
      </c>
    </row>
    <row r="54" spans="1:11" x14ac:dyDescent="0.2">
      <c r="A54" s="9" t="s">
        <v>89</v>
      </c>
      <c r="B54" s="9" t="s">
        <v>90</v>
      </c>
      <c r="C54" s="10">
        <v>0</v>
      </c>
      <c r="D54" s="10">
        <v>0.5</v>
      </c>
      <c r="E54" s="10">
        <f t="shared" si="13"/>
        <v>0</v>
      </c>
      <c r="F54" s="11">
        <v>0</v>
      </c>
      <c r="G54" s="10">
        <f t="shared" si="14"/>
        <v>0</v>
      </c>
      <c r="H54" s="10">
        <f t="shared" si="15"/>
        <v>0</v>
      </c>
      <c r="I54" s="10">
        <f t="shared" si="16"/>
        <v>0</v>
      </c>
      <c r="J54" s="12">
        <f>I54*[1]Insumos!$D$2</f>
        <v>0</v>
      </c>
      <c r="K54" s="13">
        <f t="shared" si="12"/>
        <v>0</v>
      </c>
    </row>
    <row r="55" spans="1:11" x14ac:dyDescent="0.2">
      <c r="A55" s="9" t="s">
        <v>91</v>
      </c>
      <c r="B55" s="9" t="s">
        <v>92</v>
      </c>
      <c r="C55" s="10">
        <v>42.03</v>
      </c>
      <c r="D55" s="10">
        <v>0.6</v>
      </c>
      <c r="E55" s="10">
        <f t="shared" si="13"/>
        <v>25.218</v>
      </c>
      <c r="F55" s="11">
        <v>0</v>
      </c>
      <c r="G55" s="10">
        <f>E55*F55</f>
        <v>0</v>
      </c>
      <c r="H55" s="10">
        <f>D55*F55*$B$1</f>
        <v>0</v>
      </c>
      <c r="I55" s="10">
        <f>H55*C55</f>
        <v>0</v>
      </c>
      <c r="J55" s="12">
        <f>I55*[1]Insumos!$D$2</f>
        <v>0</v>
      </c>
      <c r="K55" s="13">
        <f t="shared" si="12"/>
        <v>0</v>
      </c>
    </row>
    <row r="56" spans="1:11" x14ac:dyDescent="0.2">
      <c r="A56" s="9" t="s">
        <v>93</v>
      </c>
      <c r="B56" s="9" t="s">
        <v>94</v>
      </c>
      <c r="C56" s="10"/>
      <c r="D56" s="10"/>
      <c r="E56" s="10">
        <f t="shared" si="13"/>
        <v>0</v>
      </c>
      <c r="F56" s="11">
        <v>0</v>
      </c>
      <c r="G56" s="10">
        <f t="shared" si="14"/>
        <v>0</v>
      </c>
      <c r="H56" s="10">
        <f t="shared" si="15"/>
        <v>0</v>
      </c>
      <c r="I56" s="10">
        <f t="shared" si="16"/>
        <v>0</v>
      </c>
      <c r="J56" s="12">
        <f>I56*[1]Insumos!$D$2</f>
        <v>0</v>
      </c>
      <c r="K56" s="13">
        <f t="shared" si="12"/>
        <v>0</v>
      </c>
    </row>
    <row r="57" spans="1:11" x14ac:dyDescent="0.2">
      <c r="A57" s="9" t="s">
        <v>95</v>
      </c>
      <c r="B57" s="9" t="s">
        <v>96</v>
      </c>
      <c r="C57" s="10">
        <v>20</v>
      </c>
      <c r="D57" s="10"/>
      <c r="E57" s="10">
        <f t="shared" si="13"/>
        <v>0</v>
      </c>
      <c r="F57" s="11">
        <v>0</v>
      </c>
      <c r="G57" s="10">
        <f t="shared" si="14"/>
        <v>0</v>
      </c>
      <c r="H57" s="10">
        <f t="shared" si="15"/>
        <v>0</v>
      </c>
      <c r="I57" s="10">
        <f t="shared" si="16"/>
        <v>0</v>
      </c>
      <c r="J57" s="12">
        <f>I57*[1]Insumos!$D$2</f>
        <v>0</v>
      </c>
      <c r="K57" s="13">
        <f t="shared" si="12"/>
        <v>0</v>
      </c>
    </row>
    <row r="58" spans="1:11" x14ac:dyDescent="0.2">
      <c r="A58" s="9" t="s">
        <v>97</v>
      </c>
      <c r="B58" s="9" t="s">
        <v>98</v>
      </c>
      <c r="C58" s="10">
        <v>41.79</v>
      </c>
      <c r="D58" s="10">
        <v>1.3</v>
      </c>
      <c r="E58" s="10">
        <f t="shared" si="13"/>
        <v>54.326999999999998</v>
      </c>
      <c r="F58" s="11">
        <v>1</v>
      </c>
      <c r="G58" s="10">
        <f t="shared" si="14"/>
        <v>54.326999999999998</v>
      </c>
      <c r="H58" s="10">
        <f t="shared" si="15"/>
        <v>220.27158543417369</v>
      </c>
      <c r="I58" s="10">
        <f t="shared" si="16"/>
        <v>9205.1495552941178</v>
      </c>
      <c r="J58" s="12">
        <f>I58*[1]Insumos!$D$2</f>
        <v>13807724.332941176</v>
      </c>
      <c r="K58" s="13">
        <f t="shared" si="12"/>
        <v>4.4524214913116429E-2</v>
      </c>
    </row>
    <row r="59" spans="1:11" x14ac:dyDescent="0.2">
      <c r="A59" s="9" t="s">
        <v>99</v>
      </c>
      <c r="B59" s="9" t="s">
        <v>100</v>
      </c>
      <c r="C59" s="10"/>
      <c r="D59" s="10">
        <v>0.22500000000000001</v>
      </c>
      <c r="E59" s="10">
        <f t="shared" si="13"/>
        <v>0</v>
      </c>
      <c r="F59" s="11">
        <v>0</v>
      </c>
      <c r="G59" s="10">
        <f t="shared" si="14"/>
        <v>0</v>
      </c>
      <c r="H59" s="10">
        <f t="shared" si="15"/>
        <v>0</v>
      </c>
      <c r="I59" s="10">
        <f t="shared" si="16"/>
        <v>0</v>
      </c>
      <c r="J59" s="12">
        <f>I59*[1]Insumos!$D$2</f>
        <v>0</v>
      </c>
      <c r="K59" s="13">
        <f t="shared" si="12"/>
        <v>0</v>
      </c>
    </row>
    <row r="60" spans="1:11" x14ac:dyDescent="0.2">
      <c r="A60" s="9" t="s">
        <v>101</v>
      </c>
      <c r="B60" s="9" t="s">
        <v>102</v>
      </c>
      <c r="C60" s="10">
        <v>64.7</v>
      </c>
      <c r="D60" s="10">
        <v>1.3</v>
      </c>
      <c r="E60" s="10">
        <f>C60*D60</f>
        <v>84.110000000000014</v>
      </c>
      <c r="F60" s="11">
        <v>1</v>
      </c>
      <c r="G60" s="10">
        <f t="shared" si="14"/>
        <v>84.110000000000014</v>
      </c>
      <c r="H60" s="10">
        <f t="shared" si="15"/>
        <v>220.27158543417369</v>
      </c>
      <c r="I60" s="10">
        <f t="shared" si="16"/>
        <v>14251.571577591038</v>
      </c>
      <c r="J60" s="12">
        <f>I60*[1]Insumos!$D$2</f>
        <v>21377357.366386555</v>
      </c>
      <c r="K60" s="13">
        <f t="shared" si="12"/>
        <v>6.8933158767136474E-2</v>
      </c>
    </row>
    <row r="61" spans="1:11" x14ac:dyDescent="0.2">
      <c r="A61" s="9" t="s">
        <v>103</v>
      </c>
      <c r="B61" s="9"/>
      <c r="C61" s="10">
        <v>5.2</v>
      </c>
      <c r="D61" s="10">
        <v>2</v>
      </c>
      <c r="E61" s="10">
        <f>C61*D61</f>
        <v>10.4</v>
      </c>
      <c r="F61" s="11">
        <v>4</v>
      </c>
      <c r="G61" s="10">
        <f>E61*F61</f>
        <v>41.6</v>
      </c>
      <c r="H61" s="10">
        <f>D61*F61*$B$1</f>
        <v>1355.5174488256841</v>
      </c>
      <c r="I61" s="10">
        <f>H61*C61</f>
        <v>7048.690733893558</v>
      </c>
      <c r="J61" s="12">
        <f>I61*[1]Insumos!$D$2</f>
        <v>10573036.100840338</v>
      </c>
      <c r="K61" s="13">
        <f t="shared" si="12"/>
        <v>3.4093679761180329E-2</v>
      </c>
    </row>
    <row r="62" spans="1:11" ht="15.75" x14ac:dyDescent="0.25">
      <c r="A62" s="7"/>
      <c r="B62" s="5" t="s">
        <v>104</v>
      </c>
      <c r="C62" s="8"/>
      <c r="D62" s="8"/>
      <c r="E62" s="1" t="s">
        <v>105</v>
      </c>
      <c r="F62" s="16">
        <f>SUM(F42:F61)</f>
        <v>15.5</v>
      </c>
      <c r="G62" s="1">
        <f>SUM(G63:G66)</f>
        <v>37.150000000000006</v>
      </c>
      <c r="H62" s="1">
        <f>SUM(H63:H66)</f>
        <v>1050.5260228399052</v>
      </c>
      <c r="I62" s="1">
        <f>SUM(I63:I66)</f>
        <v>6294.6841529842713</v>
      </c>
      <c r="J62" s="1">
        <f>SUM(J63:J66)</f>
        <v>9442026.2294764072</v>
      </c>
      <c r="K62" s="6">
        <f t="shared" si="12"/>
        <v>3.0446639498265607E-2</v>
      </c>
    </row>
    <row r="63" spans="1:11" x14ac:dyDescent="0.2">
      <c r="A63" s="9"/>
      <c r="B63" s="14" t="s">
        <v>106</v>
      </c>
      <c r="C63" s="19">
        <v>3.125</v>
      </c>
      <c r="D63" s="19">
        <v>2</v>
      </c>
      <c r="E63" s="10">
        <f>C63*D63</f>
        <v>6.25</v>
      </c>
      <c r="F63" s="11">
        <v>1</v>
      </c>
      <c r="G63" s="10">
        <f>E63*F63</f>
        <v>6.25</v>
      </c>
      <c r="H63" s="10">
        <f>D63*F63*$B$1</f>
        <v>338.87936220642104</v>
      </c>
      <c r="I63" s="10">
        <f>H63*C63</f>
        <v>1058.9980068950658</v>
      </c>
      <c r="J63" s="12">
        <f>I63*[1]Insumos!$D$2</f>
        <v>1588497.0103425987</v>
      </c>
      <c r="K63" s="13">
        <f t="shared" si="12"/>
        <v>5.1222475602734864E-3</v>
      </c>
    </row>
    <row r="64" spans="1:11" x14ac:dyDescent="0.2">
      <c r="A64" s="14" t="s">
        <v>107</v>
      </c>
      <c r="B64" s="14" t="s">
        <v>108</v>
      </c>
      <c r="C64" s="19">
        <v>19</v>
      </c>
      <c r="D64" s="19">
        <v>0.1</v>
      </c>
      <c r="E64" s="10">
        <f>C64*D64</f>
        <v>1.9000000000000001</v>
      </c>
      <c r="F64" s="11">
        <v>12</v>
      </c>
      <c r="G64" s="10">
        <f>E64*F64</f>
        <v>22.8</v>
      </c>
      <c r="H64" s="10">
        <f>D64*F64*$B$1</f>
        <v>203.32761732385265</v>
      </c>
      <c r="I64" s="10">
        <f>H64*C64</f>
        <v>3863.2247291532003</v>
      </c>
      <c r="J64" s="12">
        <f>I64*[1]Insumos!$D$2</f>
        <v>5794837.0937298005</v>
      </c>
      <c r="K64" s="13">
        <f t="shared" si="12"/>
        <v>1.8685959099877681E-2</v>
      </c>
    </row>
    <row r="65" spans="1:11" x14ac:dyDescent="0.2">
      <c r="A65" s="9"/>
      <c r="B65" s="14" t="s">
        <v>109</v>
      </c>
      <c r="C65" s="19"/>
      <c r="D65" s="19"/>
      <c r="E65" s="10"/>
      <c r="F65" s="11"/>
      <c r="G65" s="10"/>
      <c r="H65" s="10"/>
      <c r="I65" s="10"/>
      <c r="J65" s="12"/>
      <c r="K65" s="13"/>
    </row>
    <row r="66" spans="1:11" x14ac:dyDescent="0.2">
      <c r="A66" s="9"/>
      <c r="B66" s="9" t="s">
        <v>110</v>
      </c>
      <c r="C66" s="10">
        <v>2.7</v>
      </c>
      <c r="D66" s="10">
        <v>3</v>
      </c>
      <c r="E66" s="10">
        <f>C66*D66</f>
        <v>8.1000000000000014</v>
      </c>
      <c r="F66" s="11">
        <v>1</v>
      </c>
      <c r="G66" s="10">
        <f>E66*F66</f>
        <v>8.1000000000000014</v>
      </c>
      <c r="H66" s="10">
        <f>D66*F66*$B$1</f>
        <v>508.31904330963152</v>
      </c>
      <c r="I66" s="10">
        <f>H66*C66</f>
        <v>1372.4614169360052</v>
      </c>
      <c r="J66" s="12">
        <f>I66*[1]Insumos!$D$2</f>
        <v>2058692.1254040077</v>
      </c>
      <c r="K66" s="13">
        <f>J66/$J$88</f>
        <v>6.6384328381144386E-3</v>
      </c>
    </row>
    <row r="67" spans="1:11" ht="15.75" x14ac:dyDescent="0.25">
      <c r="A67" s="5" t="s">
        <v>111</v>
      </c>
      <c r="B67" s="5"/>
      <c r="C67" s="1"/>
      <c r="D67" s="1"/>
      <c r="E67" s="1"/>
      <c r="F67" s="16"/>
      <c r="G67" s="1">
        <f>G62+G41+G16+G3</f>
        <v>616.73450000000003</v>
      </c>
      <c r="H67" s="1"/>
      <c r="I67" s="1">
        <f>I3+I16+I41+I62</f>
        <v>107760.16366817927</v>
      </c>
      <c r="J67" s="1">
        <f>I67*[1]Insumos!$D$2</f>
        <v>161640245.50226891</v>
      </c>
      <c r="K67" s="6">
        <f>J67/$J$88</f>
        <v>0.52122311076143224</v>
      </c>
    </row>
    <row r="68" spans="1:11" ht="15.75" x14ac:dyDescent="0.25">
      <c r="A68" s="5" t="s">
        <v>112</v>
      </c>
      <c r="B68" s="5"/>
      <c r="C68" s="1"/>
      <c r="D68" s="1"/>
      <c r="E68" s="1"/>
      <c r="F68" s="16"/>
      <c r="G68" s="1">
        <f>G67*1.21</f>
        <v>746.24874499999999</v>
      </c>
      <c r="H68" s="1"/>
      <c r="I68" s="1">
        <f>I67*1.21</f>
        <v>130389.79803849691</v>
      </c>
      <c r="J68" s="1">
        <f>I68*[1]Insumos!$D$2</f>
        <v>195584697.05774537</v>
      </c>
      <c r="K68" s="6"/>
    </row>
    <row r="69" spans="1:11" x14ac:dyDescent="0.2">
      <c r="A69" s="20"/>
      <c r="B69" s="20"/>
      <c r="C69" s="2"/>
      <c r="D69" s="2"/>
      <c r="E69" s="21"/>
      <c r="F69" s="22"/>
      <c r="G69" s="2"/>
      <c r="H69" s="2"/>
      <c r="I69" s="2"/>
      <c r="J69" s="12"/>
      <c r="K69" s="13"/>
    </row>
    <row r="70" spans="1:11" ht="15.75" x14ac:dyDescent="0.25">
      <c r="A70" s="5" t="s">
        <v>113</v>
      </c>
      <c r="B70" s="7"/>
      <c r="C70" s="8"/>
      <c r="D70" s="8"/>
      <c r="E70" s="1">
        <f>SUM(E71:E83)</f>
        <v>963.38699999999994</v>
      </c>
      <c r="F70" s="1">
        <f t="shared" ref="F70:K70" si="17">SUM(F71:F83)</f>
        <v>7</v>
      </c>
      <c r="G70" s="1">
        <f t="shared" si="17"/>
        <v>584.1880000000001</v>
      </c>
      <c r="H70" s="1">
        <f t="shared" si="17"/>
        <v>16181.489545356602</v>
      </c>
      <c r="I70" s="1">
        <f t="shared" si="17"/>
        <v>98984.628424322349</v>
      </c>
      <c r="J70" s="1">
        <f t="shared" si="17"/>
        <v>148476942.63648355</v>
      </c>
      <c r="K70" s="23">
        <f t="shared" si="17"/>
        <v>0.47877688923856759</v>
      </c>
    </row>
    <row r="71" spans="1:11" x14ac:dyDescent="0.2">
      <c r="A71" s="9" t="s">
        <v>114</v>
      </c>
      <c r="B71" s="9"/>
      <c r="C71" s="24">
        <v>0.32</v>
      </c>
      <c r="D71" s="10">
        <v>60</v>
      </c>
      <c r="E71" s="10">
        <f t="shared" ref="E71:E83" si="18">C71*D71</f>
        <v>19.2</v>
      </c>
      <c r="F71" s="11">
        <v>1</v>
      </c>
      <c r="G71" s="10">
        <f t="shared" ref="G71:G83" si="19">E71*F71</f>
        <v>19.2</v>
      </c>
      <c r="H71" s="10">
        <f t="shared" ref="H71:H83" si="20">D71*F71*$B$1</f>
        <v>10166.38086619263</v>
      </c>
      <c r="I71" s="10">
        <f>H71*C71</f>
        <v>3253.2418771816419</v>
      </c>
      <c r="J71" s="12">
        <f>I71*[1]Insumos!$D$2</f>
        <v>4879862.8157724626</v>
      </c>
      <c r="K71" s="13">
        <f>J71/$J$88</f>
        <v>1.573554450516015E-2</v>
      </c>
    </row>
    <row r="72" spans="1:11" x14ac:dyDescent="0.2">
      <c r="A72" s="9" t="s">
        <v>115</v>
      </c>
      <c r="B72" s="9"/>
      <c r="C72" s="24">
        <v>3.85</v>
      </c>
      <c r="D72" s="10">
        <v>0</v>
      </c>
      <c r="E72" s="10">
        <f t="shared" si="18"/>
        <v>0</v>
      </c>
      <c r="F72" s="11">
        <v>0</v>
      </c>
      <c r="G72" s="10">
        <f t="shared" si="19"/>
        <v>0</v>
      </c>
      <c r="H72" s="10">
        <f t="shared" si="20"/>
        <v>0</v>
      </c>
      <c r="I72" s="10">
        <f t="shared" ref="I72:I83" si="21">H72*C72</f>
        <v>0</v>
      </c>
      <c r="J72" s="12">
        <f>I72*[1]Insumos!$D$2</f>
        <v>0</v>
      </c>
      <c r="K72" s="13">
        <f t="shared" ref="K72:K83" si="22">J72/$J$88</f>
        <v>0</v>
      </c>
    </row>
    <row r="73" spans="1:11" x14ac:dyDescent="0.2">
      <c r="A73" s="9" t="s">
        <v>116</v>
      </c>
      <c r="B73" s="9"/>
      <c r="C73" s="10">
        <v>16</v>
      </c>
      <c r="D73" s="24">
        <v>0.96</v>
      </c>
      <c r="E73" s="10">
        <f t="shared" si="18"/>
        <v>15.36</v>
      </c>
      <c r="F73" s="11">
        <v>1</v>
      </c>
      <c r="G73" s="10">
        <f t="shared" si="19"/>
        <v>15.36</v>
      </c>
      <c r="H73" s="10">
        <f t="shared" si="20"/>
        <v>162.66209385908209</v>
      </c>
      <c r="I73" s="10">
        <f t="shared" si="21"/>
        <v>2602.5935017453135</v>
      </c>
      <c r="J73" s="12">
        <f>I73*[1]Insumos!$D$2</f>
        <v>3903890.2526179701</v>
      </c>
      <c r="K73" s="13">
        <f t="shared" si="22"/>
        <v>1.2588435604128119E-2</v>
      </c>
    </row>
    <row r="74" spans="1:11" x14ac:dyDescent="0.2">
      <c r="A74" s="9" t="s">
        <v>117</v>
      </c>
      <c r="B74" s="9"/>
      <c r="C74" s="10">
        <v>46.2</v>
      </c>
      <c r="D74" s="24">
        <v>2.5</v>
      </c>
      <c r="E74" s="10">
        <f t="shared" si="18"/>
        <v>115.5</v>
      </c>
      <c r="F74" s="11">
        <v>0</v>
      </c>
      <c r="G74" s="10">
        <f t="shared" si="19"/>
        <v>0</v>
      </c>
      <c r="H74" s="10">
        <f t="shared" si="20"/>
        <v>0</v>
      </c>
      <c r="I74" s="10">
        <f t="shared" si="21"/>
        <v>0</v>
      </c>
      <c r="J74" s="12">
        <f>I74*[1]Insumos!$D$2</f>
        <v>0</v>
      </c>
      <c r="K74" s="13">
        <f t="shared" si="22"/>
        <v>0</v>
      </c>
    </row>
    <row r="75" spans="1:11" x14ac:dyDescent="0.2">
      <c r="A75" s="14" t="s">
        <v>118</v>
      </c>
      <c r="B75" s="9"/>
      <c r="C75" s="10">
        <v>69.72</v>
      </c>
      <c r="D75" s="24">
        <v>1.2</v>
      </c>
      <c r="E75" s="10">
        <f t="shared" si="18"/>
        <v>83.664000000000001</v>
      </c>
      <c r="F75" s="11">
        <v>1</v>
      </c>
      <c r="G75" s="10">
        <f>E75*F75</f>
        <v>83.664000000000001</v>
      </c>
      <c r="H75" s="10">
        <f>D75*F75*$B$1</f>
        <v>203.32761732385262</v>
      </c>
      <c r="I75" s="10">
        <f>H75*C75</f>
        <v>14176.001479819004</v>
      </c>
      <c r="J75" s="12">
        <f>I75*[1]Insumos!$D$2</f>
        <v>21264002.219728507</v>
      </c>
      <c r="K75" s="13">
        <f>J75/$J$88</f>
        <v>6.8567635181235362E-2</v>
      </c>
    </row>
    <row r="76" spans="1:11" x14ac:dyDescent="0.2">
      <c r="A76" s="9" t="s">
        <v>119</v>
      </c>
      <c r="B76" s="9" t="s">
        <v>120</v>
      </c>
      <c r="C76" s="10">
        <v>25</v>
      </c>
      <c r="D76" s="24">
        <v>0.5</v>
      </c>
      <c r="E76" s="10">
        <f t="shared" si="18"/>
        <v>12.5</v>
      </c>
      <c r="F76" s="11">
        <v>0</v>
      </c>
      <c r="G76" s="10">
        <f t="shared" si="19"/>
        <v>0</v>
      </c>
      <c r="H76" s="10">
        <f t="shared" si="20"/>
        <v>0</v>
      </c>
      <c r="I76" s="10">
        <f t="shared" si="21"/>
        <v>0</v>
      </c>
      <c r="J76" s="12">
        <f>I76*[1]Insumos!$D$2</f>
        <v>0</v>
      </c>
      <c r="K76" s="13">
        <f t="shared" si="22"/>
        <v>0</v>
      </c>
    </row>
    <row r="77" spans="1:11" x14ac:dyDescent="0.2">
      <c r="A77" s="9" t="s">
        <v>121</v>
      </c>
      <c r="B77" s="9" t="s">
        <v>122</v>
      </c>
      <c r="C77" s="10">
        <v>26.6</v>
      </c>
      <c r="D77" s="24">
        <v>1.04</v>
      </c>
      <c r="E77" s="10">
        <f t="shared" si="18"/>
        <v>27.664000000000001</v>
      </c>
      <c r="F77" s="11">
        <v>1</v>
      </c>
      <c r="G77" s="10">
        <f t="shared" si="19"/>
        <v>27.664000000000001</v>
      </c>
      <c r="H77" s="10">
        <f t="shared" si="20"/>
        <v>176.21726834733894</v>
      </c>
      <c r="I77" s="10">
        <f t="shared" si="21"/>
        <v>4687.3793380392162</v>
      </c>
      <c r="J77" s="12">
        <f>I77*[1]Insumos!$D$2</f>
        <v>7031069.0070588244</v>
      </c>
      <c r="K77" s="13">
        <f t="shared" si="22"/>
        <v>2.2672297041184921E-2</v>
      </c>
    </row>
    <row r="78" spans="1:11" x14ac:dyDescent="0.2">
      <c r="A78" s="9" t="s">
        <v>123</v>
      </c>
      <c r="B78" s="9"/>
      <c r="C78" s="10">
        <v>15</v>
      </c>
      <c r="D78" s="10">
        <v>20</v>
      </c>
      <c r="E78" s="10">
        <f t="shared" si="18"/>
        <v>300</v>
      </c>
      <c r="F78" s="11">
        <v>1</v>
      </c>
      <c r="G78" s="10">
        <f t="shared" si="19"/>
        <v>300</v>
      </c>
      <c r="H78" s="10">
        <f t="shared" si="20"/>
        <v>3388.7936220642105</v>
      </c>
      <c r="I78" s="10">
        <f t="shared" si="21"/>
        <v>50831.90433096316</v>
      </c>
      <c r="J78" s="12">
        <f>I78*[1]Insumos!$D$2</f>
        <v>76247856.496444747</v>
      </c>
      <c r="K78" s="13">
        <f t="shared" si="22"/>
        <v>0.24586788289312739</v>
      </c>
    </row>
    <row r="79" spans="1:11" x14ac:dyDescent="0.2">
      <c r="A79" s="9" t="s">
        <v>124</v>
      </c>
      <c r="B79" s="9"/>
      <c r="C79" s="10">
        <v>21</v>
      </c>
      <c r="D79" s="10">
        <v>0.3</v>
      </c>
      <c r="E79" s="10">
        <f t="shared" si="18"/>
        <v>6.3</v>
      </c>
      <c r="F79" s="11">
        <v>1</v>
      </c>
      <c r="G79" s="10">
        <f t="shared" si="19"/>
        <v>6.3</v>
      </c>
      <c r="H79" s="10">
        <f t="shared" si="20"/>
        <v>50.831904330963155</v>
      </c>
      <c r="I79" s="10">
        <f t="shared" si="21"/>
        <v>1067.4699909502262</v>
      </c>
      <c r="J79" s="12">
        <f>I79*[1]Insumos!$D$2</f>
        <v>1601204.9864253395</v>
      </c>
      <c r="K79" s="13">
        <f>J79/$J$88</f>
        <v>5.1632255407556751E-3</v>
      </c>
    </row>
    <row r="80" spans="1:11" x14ac:dyDescent="0.2">
      <c r="A80" s="14" t="s">
        <v>125</v>
      </c>
      <c r="B80" s="14" t="s">
        <v>126</v>
      </c>
      <c r="C80" s="10">
        <v>6</v>
      </c>
      <c r="D80" s="10">
        <v>10</v>
      </c>
      <c r="E80" s="10">
        <f>C80*D80</f>
        <v>60</v>
      </c>
      <c r="F80" s="11">
        <v>0</v>
      </c>
      <c r="G80" s="10">
        <f t="shared" si="19"/>
        <v>0</v>
      </c>
      <c r="H80" s="10">
        <f t="shared" si="20"/>
        <v>0</v>
      </c>
      <c r="I80" s="10">
        <f t="shared" si="21"/>
        <v>0</v>
      </c>
      <c r="J80" s="12">
        <f>I80*[1]Insumos!$D$2</f>
        <v>0</v>
      </c>
      <c r="K80" s="13">
        <f t="shared" si="22"/>
        <v>0</v>
      </c>
    </row>
    <row r="81" spans="1:11" x14ac:dyDescent="0.2">
      <c r="A81" s="9" t="s">
        <v>127</v>
      </c>
      <c r="B81" s="9" t="s">
        <v>128</v>
      </c>
      <c r="C81" s="10">
        <v>30.55</v>
      </c>
      <c r="D81" s="24">
        <v>0.18</v>
      </c>
      <c r="E81" s="10">
        <f t="shared" si="18"/>
        <v>5.4989999999999997</v>
      </c>
      <c r="F81" s="11">
        <v>0</v>
      </c>
      <c r="G81" s="10">
        <f t="shared" si="19"/>
        <v>0</v>
      </c>
      <c r="H81" s="10">
        <f t="shared" si="20"/>
        <v>0</v>
      </c>
      <c r="I81" s="10">
        <f t="shared" si="21"/>
        <v>0</v>
      </c>
      <c r="J81" s="12">
        <f>I81*[1]Insumos!$D$2</f>
        <v>0</v>
      </c>
      <c r="K81" s="13">
        <f t="shared" si="22"/>
        <v>0</v>
      </c>
    </row>
    <row r="82" spans="1:11" x14ac:dyDescent="0.2">
      <c r="A82" s="9" t="s">
        <v>129</v>
      </c>
      <c r="B82" s="9"/>
      <c r="C82" s="10">
        <v>619</v>
      </c>
      <c r="D82" s="24">
        <v>0.3</v>
      </c>
      <c r="E82" s="10">
        <f t="shared" si="18"/>
        <v>185.7</v>
      </c>
      <c r="F82" s="11">
        <v>0</v>
      </c>
      <c r="G82" s="10">
        <f>E82*F82</f>
        <v>0</v>
      </c>
      <c r="H82" s="10">
        <f>D82*F82*$B$1</f>
        <v>0</v>
      </c>
      <c r="I82" s="10">
        <f>H82*C82</f>
        <v>0</v>
      </c>
      <c r="J82" s="12">
        <f>I82*[1]Insumos!$D$2</f>
        <v>0</v>
      </c>
      <c r="K82" s="13">
        <f>J82/$J$88</f>
        <v>0</v>
      </c>
    </row>
    <row r="83" spans="1:11" x14ac:dyDescent="0.2">
      <c r="A83" s="9" t="s">
        <v>130</v>
      </c>
      <c r="B83" s="9"/>
      <c r="C83" s="10">
        <v>11</v>
      </c>
      <c r="D83" s="10">
        <v>12</v>
      </c>
      <c r="E83" s="10">
        <f t="shared" si="18"/>
        <v>132</v>
      </c>
      <c r="F83" s="15">
        <v>1</v>
      </c>
      <c r="G83" s="10">
        <f t="shared" si="19"/>
        <v>132</v>
      </c>
      <c r="H83" s="10">
        <f t="shared" si="20"/>
        <v>2033.2761732385261</v>
      </c>
      <c r="I83" s="10">
        <f t="shared" si="21"/>
        <v>22366.037905623787</v>
      </c>
      <c r="J83" s="12">
        <f>I83*[1]Insumos!$D$2</f>
        <v>33549056.858435679</v>
      </c>
      <c r="K83" s="13">
        <f t="shared" si="22"/>
        <v>0.10818186847297602</v>
      </c>
    </row>
    <row r="84" spans="1:11" ht="15.75" x14ac:dyDescent="0.25">
      <c r="A84" s="5" t="s">
        <v>111</v>
      </c>
      <c r="B84" s="5"/>
      <c r="C84" s="1"/>
      <c r="D84" s="1"/>
      <c r="E84" s="1">
        <f>SUM(E71:E83)</f>
        <v>963.38699999999994</v>
      </c>
      <c r="F84" s="1"/>
      <c r="G84" s="1">
        <f>E84</f>
        <v>963.38699999999994</v>
      </c>
      <c r="H84" s="1"/>
      <c r="I84" s="1">
        <f>SUM(I71:I83)</f>
        <v>98984.628424322349</v>
      </c>
      <c r="J84" s="1">
        <f>I84*[1]Insumos!$D$2</f>
        <v>148476942.63648352</v>
      </c>
      <c r="K84" s="6">
        <f>J84/$J$88</f>
        <v>0.47877688923856759</v>
      </c>
    </row>
    <row r="85" spans="1:11" ht="15.75" x14ac:dyDescent="0.25">
      <c r="A85" s="5" t="s">
        <v>112</v>
      </c>
      <c r="B85" s="5"/>
      <c r="C85" s="1"/>
      <c r="D85" s="1"/>
      <c r="E85" s="1">
        <f>E84*1.21</f>
        <v>1165.6982699999999</v>
      </c>
      <c r="F85" s="1"/>
      <c r="G85" s="1">
        <f>G84*1.21</f>
        <v>1165.6982699999999</v>
      </c>
      <c r="H85" s="1"/>
      <c r="I85" s="1">
        <f>I84*1.21</f>
        <v>119771.40039343004</v>
      </c>
      <c r="J85" s="1">
        <f>I85*[1]Insumos!$D$2</f>
        <v>179657100.59014505</v>
      </c>
      <c r="K85" s="6">
        <f>J85/$J$88</f>
        <v>0.57932003597866677</v>
      </c>
    </row>
    <row r="86" spans="1:11" x14ac:dyDescent="0.2">
      <c r="A86" s="20"/>
      <c r="B86" s="20"/>
      <c r="C86" s="2"/>
      <c r="D86" s="2"/>
      <c r="E86" s="2"/>
      <c r="F86" s="2"/>
      <c r="G86" s="2"/>
      <c r="H86" s="2"/>
      <c r="I86" s="2"/>
      <c r="J86" s="25"/>
      <c r="K86" s="13"/>
    </row>
    <row r="87" spans="1:11" ht="15.75" x14ac:dyDescent="0.25">
      <c r="A87" s="20"/>
      <c r="B87" s="20"/>
      <c r="C87" s="2"/>
      <c r="D87" s="2"/>
      <c r="E87" s="2"/>
      <c r="F87" s="2"/>
      <c r="G87" s="1" t="s">
        <v>131</v>
      </c>
      <c r="H87" s="1" t="s">
        <v>132</v>
      </c>
      <c r="I87" s="1" t="s">
        <v>133</v>
      </c>
      <c r="J87" s="1" t="s">
        <v>134</v>
      </c>
      <c r="K87" s="6"/>
    </row>
    <row r="88" spans="1:11" ht="15.75" x14ac:dyDescent="0.25">
      <c r="A88" s="5" t="s">
        <v>135</v>
      </c>
      <c r="B88" s="7"/>
      <c r="C88" s="8"/>
      <c r="D88" s="8"/>
      <c r="E88" s="1"/>
      <c r="F88" s="8"/>
      <c r="G88" s="1">
        <f>G84+G67</f>
        <v>1580.1215</v>
      </c>
      <c r="H88" s="1">
        <f>G88*[1]Insumos!$D$2</f>
        <v>2370182.25</v>
      </c>
      <c r="I88" s="1">
        <f>I67+I84</f>
        <v>206744.79209250162</v>
      </c>
      <c r="J88" s="1">
        <f>I88*[1]Insumos!$D$2</f>
        <v>310117188.13875246</v>
      </c>
      <c r="K88" s="6">
        <f>J88/$J$88</f>
        <v>1</v>
      </c>
    </row>
    <row r="89" spans="1:11" ht="15.75" x14ac:dyDescent="0.25">
      <c r="A89" s="5" t="s">
        <v>136</v>
      </c>
      <c r="B89" s="7"/>
      <c r="C89" s="8"/>
      <c r="D89" s="8"/>
      <c r="E89" s="1"/>
      <c r="F89" s="8"/>
      <c r="G89" s="1">
        <f>G68+G85</f>
        <v>1911.9470149999997</v>
      </c>
      <c r="H89" s="1">
        <f>G89*[1]Insumos!$D$2</f>
        <v>2867920.5224999995</v>
      </c>
      <c r="I89" s="1">
        <f>I68+I85</f>
        <v>250161.19843192695</v>
      </c>
      <c r="J89" s="1">
        <f>I89*[1]Insumos!$D$2</f>
        <v>375241797.64789045</v>
      </c>
      <c r="K89" s="6">
        <f>J89/$J$88</f>
        <v>1.21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98F2A-2A50-432A-B693-1268B7F7BF4C}">
  <dimension ref="A1:I23"/>
  <sheetViews>
    <sheetView tabSelected="1" workbookViewId="0">
      <selection activeCell="H24" sqref="H24"/>
    </sheetView>
  </sheetViews>
  <sheetFormatPr baseColWidth="10" defaultRowHeight="15" x14ac:dyDescent="0.2"/>
  <cols>
    <col min="1" max="1" width="21.42578125" style="4" customWidth="1"/>
    <col min="2" max="2" width="42.85546875" style="4" bestFit="1" customWidth="1"/>
    <col min="3" max="3" width="15.42578125" style="26" customWidth="1"/>
    <col min="4" max="4" width="12.7109375" style="26" bestFit="1" customWidth="1"/>
    <col min="5" max="5" width="12.7109375" style="26" customWidth="1"/>
    <col min="6" max="6" width="13.7109375" style="4" customWidth="1"/>
    <col min="7" max="7" width="11.42578125" style="4"/>
    <col min="8" max="8" width="14.5703125" style="4" bestFit="1" customWidth="1"/>
    <col min="9" max="9" width="28.42578125" style="4" customWidth="1"/>
    <col min="10" max="10" width="20.140625" style="4" customWidth="1"/>
    <col min="11" max="16384" width="11.42578125" style="4"/>
  </cols>
  <sheetData>
    <row r="1" spans="1:9" ht="15.75" x14ac:dyDescent="0.25">
      <c r="A1" s="35" t="s">
        <v>142</v>
      </c>
      <c r="B1" s="35"/>
      <c r="C1" s="36">
        <v>1</v>
      </c>
      <c r="D1" s="29">
        <v>46336</v>
      </c>
      <c r="E1" s="31"/>
    </row>
    <row r="2" spans="1:9" x14ac:dyDescent="0.2">
      <c r="A2" s="27" t="s">
        <v>143</v>
      </c>
      <c r="B2" s="29">
        <v>46337</v>
      </c>
      <c r="C2" s="30">
        <v>0.3125</v>
      </c>
      <c r="D2" s="37"/>
      <c r="E2" s="32"/>
    </row>
    <row r="3" spans="1:9" ht="15.75" x14ac:dyDescent="0.25">
      <c r="A3" s="27" t="s">
        <v>145</v>
      </c>
      <c r="B3" s="28" t="s">
        <v>146</v>
      </c>
      <c r="C3" s="29"/>
      <c r="D3" s="38" t="s">
        <v>137</v>
      </c>
      <c r="E3" s="38"/>
    </row>
    <row r="4" spans="1:9" ht="15.75" x14ac:dyDescent="0.25">
      <c r="A4" s="5" t="s">
        <v>141</v>
      </c>
      <c r="B4" s="5" t="s">
        <v>1</v>
      </c>
      <c r="C4" s="1" t="s">
        <v>154</v>
      </c>
      <c r="D4" s="1" t="s">
        <v>138</v>
      </c>
      <c r="E4" s="1" t="s">
        <v>140</v>
      </c>
      <c r="F4" s="1" t="s">
        <v>152</v>
      </c>
      <c r="G4" s="1" t="s">
        <v>153</v>
      </c>
      <c r="H4" s="1" t="s">
        <v>147</v>
      </c>
      <c r="I4" s="1" t="s">
        <v>144</v>
      </c>
    </row>
    <row r="5" spans="1:9" x14ac:dyDescent="0.2">
      <c r="A5" s="14" t="s">
        <v>74</v>
      </c>
      <c r="B5" s="9" t="s">
        <v>75</v>
      </c>
      <c r="C5" s="10">
        <v>2.5</v>
      </c>
      <c r="D5" s="10" t="s">
        <v>139</v>
      </c>
      <c r="E5" s="11">
        <v>2</v>
      </c>
      <c r="F5" s="10">
        <v>13.5</v>
      </c>
      <c r="G5" s="15">
        <f>C5*F5</f>
        <v>33.75</v>
      </c>
      <c r="H5" s="12" t="s">
        <v>148</v>
      </c>
      <c r="I5" s="10"/>
    </row>
    <row r="6" spans="1:9" x14ac:dyDescent="0.2">
      <c r="A6" s="14" t="s">
        <v>155</v>
      </c>
      <c r="B6" s="9" t="s">
        <v>50</v>
      </c>
      <c r="C6" s="10">
        <v>0.25</v>
      </c>
      <c r="D6" s="10" t="s">
        <v>139</v>
      </c>
      <c r="E6" s="11">
        <v>2</v>
      </c>
      <c r="F6" s="10">
        <v>13.5</v>
      </c>
      <c r="G6" s="15">
        <f>C6*F6</f>
        <v>3.375</v>
      </c>
      <c r="H6" s="12" t="s">
        <v>148</v>
      </c>
      <c r="I6" s="10"/>
    </row>
    <row r="7" spans="1:9" x14ac:dyDescent="0.2">
      <c r="A7" s="9"/>
      <c r="B7" s="14" t="s">
        <v>45</v>
      </c>
      <c r="C7" s="10">
        <v>0.1</v>
      </c>
      <c r="D7" s="10" t="s">
        <v>139</v>
      </c>
      <c r="E7" s="11">
        <v>2</v>
      </c>
      <c r="F7" s="10">
        <v>13.5</v>
      </c>
      <c r="G7" s="15">
        <f>C7*F7</f>
        <v>1.35</v>
      </c>
      <c r="H7" s="12" t="s">
        <v>148</v>
      </c>
      <c r="I7" s="10"/>
    </row>
    <row r="9" spans="1:9" ht="15.75" x14ac:dyDescent="0.25">
      <c r="A9" s="35" t="s">
        <v>142</v>
      </c>
      <c r="B9" s="35"/>
      <c r="C9" s="36">
        <v>2</v>
      </c>
      <c r="D9" s="29">
        <v>46337</v>
      </c>
      <c r="E9" s="31"/>
    </row>
    <row r="10" spans="1:9" x14ac:dyDescent="0.2">
      <c r="A10" s="27" t="s">
        <v>143</v>
      </c>
      <c r="B10" s="29">
        <v>46338</v>
      </c>
      <c r="C10" s="30">
        <v>0.88541666666666663</v>
      </c>
      <c r="D10" s="27"/>
      <c r="E10" s="32"/>
    </row>
    <row r="11" spans="1:9" ht="15.75" x14ac:dyDescent="0.25">
      <c r="A11" s="27" t="s">
        <v>145</v>
      </c>
      <c r="B11" s="28" t="s">
        <v>151</v>
      </c>
      <c r="C11" s="29"/>
      <c r="D11" s="34" t="s">
        <v>137</v>
      </c>
      <c r="E11" s="33"/>
    </row>
    <row r="12" spans="1:9" ht="15.75" x14ac:dyDescent="0.25">
      <c r="A12" s="5" t="s">
        <v>141</v>
      </c>
      <c r="B12" s="5" t="s">
        <v>1</v>
      </c>
      <c r="C12" s="1" t="s">
        <v>154</v>
      </c>
      <c r="D12" s="1" t="s">
        <v>138</v>
      </c>
      <c r="E12" s="1" t="s">
        <v>140</v>
      </c>
      <c r="F12" s="1" t="s">
        <v>152</v>
      </c>
      <c r="G12" s="1" t="s">
        <v>153</v>
      </c>
      <c r="H12" s="1" t="s">
        <v>147</v>
      </c>
      <c r="I12" s="1" t="s">
        <v>144</v>
      </c>
    </row>
    <row r="13" spans="1:9" x14ac:dyDescent="0.2">
      <c r="A13" s="9" t="s">
        <v>156</v>
      </c>
      <c r="B13" s="9" t="s">
        <v>73</v>
      </c>
      <c r="C13" s="10">
        <v>1.3</v>
      </c>
      <c r="D13" s="10" t="s">
        <v>149</v>
      </c>
      <c r="E13" s="11">
        <v>1</v>
      </c>
      <c r="F13" s="10">
        <v>12</v>
      </c>
      <c r="G13" s="10">
        <f>C13*F13</f>
        <v>15.600000000000001</v>
      </c>
      <c r="H13" s="12" t="s">
        <v>150</v>
      </c>
      <c r="I13" s="10"/>
    </row>
    <row r="14" spans="1:9" x14ac:dyDescent="0.2">
      <c r="A14" s="9" t="s">
        <v>157</v>
      </c>
      <c r="B14" s="9" t="s">
        <v>70</v>
      </c>
      <c r="C14" s="10">
        <v>0.6</v>
      </c>
      <c r="D14" s="10" t="s">
        <v>149</v>
      </c>
      <c r="E14" s="11">
        <v>1</v>
      </c>
      <c r="F14" s="10">
        <v>12</v>
      </c>
      <c r="G14" s="10">
        <f>C14*F14</f>
        <v>7.1999999999999993</v>
      </c>
      <c r="H14" s="12" t="s">
        <v>150</v>
      </c>
      <c r="I14" s="10"/>
    </row>
    <row r="15" spans="1:9" x14ac:dyDescent="0.2">
      <c r="A15" s="14" t="s">
        <v>107</v>
      </c>
      <c r="B15" s="14" t="s">
        <v>108</v>
      </c>
      <c r="C15" s="19">
        <v>0.1</v>
      </c>
      <c r="D15" s="10" t="s">
        <v>149</v>
      </c>
      <c r="E15" s="11">
        <v>1</v>
      </c>
      <c r="F15" s="10">
        <v>12</v>
      </c>
      <c r="G15" s="10">
        <f>C15*F15</f>
        <v>1.2000000000000002</v>
      </c>
      <c r="H15" s="12" t="s">
        <v>150</v>
      </c>
      <c r="I15" s="10"/>
    </row>
    <row r="17" spans="1:9" ht="15.75" x14ac:dyDescent="0.25">
      <c r="A17" s="35" t="s">
        <v>142</v>
      </c>
      <c r="B17" s="35"/>
      <c r="C17" s="36">
        <v>3</v>
      </c>
      <c r="D17" s="29">
        <v>46337</v>
      </c>
      <c r="E17" s="31"/>
    </row>
    <row r="18" spans="1:9" x14ac:dyDescent="0.2">
      <c r="A18" s="27" t="s">
        <v>143</v>
      </c>
      <c r="B18" s="29">
        <v>46339</v>
      </c>
      <c r="C18" s="30">
        <v>0.25</v>
      </c>
      <c r="D18" s="27"/>
      <c r="E18" s="32"/>
    </row>
    <row r="19" spans="1:9" ht="15.75" x14ac:dyDescent="0.25">
      <c r="A19" s="27" t="s">
        <v>145</v>
      </c>
      <c r="B19" s="28" t="s">
        <v>151</v>
      </c>
      <c r="C19" s="29"/>
      <c r="D19" s="34" t="s">
        <v>137</v>
      </c>
      <c r="E19" s="33"/>
    </row>
    <row r="20" spans="1:9" ht="15.75" x14ac:dyDescent="0.25">
      <c r="A20" s="5" t="s">
        <v>141</v>
      </c>
      <c r="B20" s="5" t="s">
        <v>1</v>
      </c>
      <c r="C20" s="1" t="s">
        <v>154</v>
      </c>
      <c r="D20" s="1" t="s">
        <v>138</v>
      </c>
      <c r="E20" s="1" t="s">
        <v>140</v>
      </c>
      <c r="F20" s="1" t="s">
        <v>152</v>
      </c>
      <c r="G20" s="1" t="s">
        <v>153</v>
      </c>
      <c r="H20" s="1" t="s">
        <v>147</v>
      </c>
      <c r="I20" s="1" t="s">
        <v>144</v>
      </c>
    </row>
    <row r="21" spans="1:9" x14ac:dyDescent="0.2">
      <c r="A21" s="9" t="s">
        <v>156</v>
      </c>
      <c r="B21" s="9" t="s">
        <v>73</v>
      </c>
      <c r="C21" s="10">
        <v>1.3</v>
      </c>
      <c r="D21" s="10" t="s">
        <v>158</v>
      </c>
      <c r="E21" s="11">
        <v>1</v>
      </c>
      <c r="F21" s="10">
        <v>12.5</v>
      </c>
      <c r="G21" s="10">
        <f>C21*F21</f>
        <v>16.25</v>
      </c>
      <c r="H21" s="12" t="s">
        <v>148</v>
      </c>
      <c r="I21" s="10"/>
    </row>
    <row r="22" spans="1:9" x14ac:dyDescent="0.2">
      <c r="A22" s="9" t="s">
        <v>157</v>
      </c>
      <c r="B22" s="9" t="s">
        <v>70</v>
      </c>
      <c r="C22" s="10">
        <v>0.6</v>
      </c>
      <c r="D22" s="10" t="s">
        <v>158</v>
      </c>
      <c r="E22" s="11">
        <v>1</v>
      </c>
      <c r="F22" s="10">
        <v>12.5</v>
      </c>
      <c r="G22" s="10">
        <f>C22*F22</f>
        <v>7.5</v>
      </c>
      <c r="H22" s="12" t="s">
        <v>148</v>
      </c>
      <c r="I22" s="10"/>
    </row>
    <row r="23" spans="1:9" x14ac:dyDescent="0.2">
      <c r="A23" s="14" t="s">
        <v>107</v>
      </c>
      <c r="B23" s="14" t="s">
        <v>108</v>
      </c>
      <c r="C23" s="19">
        <v>0.1</v>
      </c>
      <c r="D23" s="10" t="s">
        <v>158</v>
      </c>
      <c r="E23" s="11">
        <v>1</v>
      </c>
      <c r="F23" s="10">
        <v>12.5</v>
      </c>
      <c r="G23" s="10">
        <f>C23*F23</f>
        <v>1.25</v>
      </c>
      <c r="H23" s="12" t="s">
        <v>148</v>
      </c>
      <c r="I23" s="10"/>
    </row>
  </sheetData>
  <mergeCells count="3">
    <mergeCell ref="D3:E3"/>
    <mergeCell ref="D11:E11"/>
    <mergeCell ref="D19:E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Presupuesto</vt:lpstr>
      <vt:lpstr>Orden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2026-08-15T11:16:39Z</dcterms:created>
  <dcterms:modified xsi:type="dcterms:W3CDTF">2026-08-15T11:47:18Z</dcterms:modified>
</cp:coreProperties>
</file>