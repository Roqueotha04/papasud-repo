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eandro Papasud\Leandro\Técnica\Ensayos, Rinde, Muestras\Muestras Rendimiento, Calibre\"/>
    </mc:Choice>
  </mc:AlternateContent>
  <xr:revisionPtr revIDLastSave="0" documentId="13_ncr:1_{7C8B224A-EB66-404B-B468-3C3E9B7C76A5}" xr6:coauthVersionLast="40" xr6:coauthVersionMax="40" xr10:uidLastSave="{00000000-0000-0000-0000-000000000000}"/>
  <bookViews>
    <workbookView xWindow="240" yWindow="150" windowWidth="20115" windowHeight="7995" activeTab="4" xr2:uid="{00000000-000D-0000-FFFF-FFFF00000000}"/>
  </bookViews>
  <sheets>
    <sheet name="At 22-12" sheetId="1" r:id="rId1"/>
    <sheet name="Ax 22-12" sheetId="2" r:id="rId2"/>
    <sheet name="Ag 22-12" sheetId="3" r:id="rId3"/>
    <sheet name="Ax Rootex" sheetId="4" r:id="rId4"/>
    <sheet name="Ag+At Root" sheetId="5" r:id="rId5"/>
    <sheet name="Ag L37-2021" sheetId="6" r:id="rId6"/>
    <sheet name="At L41-2021" sheetId="7" r:id="rId7"/>
  </sheets>
  <calcPr calcId="191029"/>
</workbook>
</file>

<file path=xl/calcChain.xml><?xml version="1.0" encoding="utf-8"?>
<calcChain xmlns="http://schemas.openxmlformats.org/spreadsheetml/2006/main">
  <c r="E11" i="7" l="1"/>
  <c r="E17" i="7"/>
  <c r="E23" i="7"/>
  <c r="E5" i="7"/>
  <c r="C23" i="7"/>
  <c r="D22" i="7" s="1"/>
  <c r="C17" i="7"/>
  <c r="D14" i="7" s="1"/>
  <c r="C11" i="7"/>
  <c r="D9" i="7" s="1"/>
  <c r="C5" i="7"/>
  <c r="D5" i="7" s="1"/>
  <c r="D3" i="7" l="1"/>
  <c r="E3" i="7"/>
  <c r="E9" i="7"/>
  <c r="D8" i="7"/>
  <c r="E14" i="7"/>
  <c r="E22" i="7"/>
  <c r="D10" i="7"/>
  <c r="E10" i="7" s="1"/>
  <c r="E8" i="7"/>
  <c r="D23" i="7"/>
  <c r="D21" i="7"/>
  <c r="E21" i="7" s="1"/>
  <c r="D2" i="7"/>
  <c r="E2" i="7" s="1"/>
  <c r="D4" i="7"/>
  <c r="E4" i="7" s="1"/>
  <c r="D11" i="7"/>
  <c r="D20" i="7"/>
  <c r="E20" i="7" s="1"/>
  <c r="D16" i="7"/>
  <c r="E16" i="7" s="1"/>
  <c r="D17" i="7"/>
  <c r="D15" i="7"/>
  <c r="E15" i="7" s="1"/>
  <c r="T14" i="5" l="1"/>
  <c r="U16" i="5" s="1"/>
  <c r="V16" i="5"/>
  <c r="T16" i="5"/>
  <c r="U15" i="5"/>
  <c r="V15" i="5"/>
  <c r="W15" i="5"/>
  <c r="T15" i="5"/>
  <c r="U11" i="5"/>
  <c r="V11" i="5"/>
  <c r="W11" i="5"/>
  <c r="U8" i="5"/>
  <c r="W8" i="5"/>
  <c r="T8" i="5"/>
  <c r="U7" i="5"/>
  <c r="V7" i="5"/>
  <c r="W7" i="5"/>
  <c r="T7" i="5"/>
  <c r="W18" i="5"/>
  <c r="V18" i="5"/>
  <c r="U18" i="5"/>
  <c r="S18" i="5"/>
  <c r="V19" i="5" s="1"/>
  <c r="T10" i="5"/>
  <c r="V12" i="5" s="1"/>
  <c r="T6" i="5"/>
  <c r="V8" i="5" s="1"/>
  <c r="U12" i="5" l="1"/>
  <c r="T11" i="5"/>
  <c r="T12" i="5"/>
  <c r="W19" i="5"/>
  <c r="W12" i="5"/>
  <c r="U19" i="5"/>
  <c r="W16" i="5"/>
  <c r="T18" i="5"/>
  <c r="M18" i="5"/>
  <c r="N18" i="5"/>
  <c r="O18" i="5"/>
  <c r="M16" i="5"/>
  <c r="N16" i="5"/>
  <c r="O16" i="5"/>
  <c r="L16" i="5"/>
  <c r="M15" i="5"/>
  <c r="N15" i="5"/>
  <c r="O15" i="5"/>
  <c r="L15" i="5"/>
  <c r="M11" i="5"/>
  <c r="N11" i="5"/>
  <c r="O11" i="5"/>
  <c r="M7" i="5"/>
  <c r="N7" i="5"/>
  <c r="O7" i="5"/>
  <c r="K18" i="5"/>
  <c r="L10" i="5"/>
  <c r="N12" i="5" s="1"/>
  <c r="L6" i="5"/>
  <c r="M8" i="5" s="1"/>
  <c r="F14" i="5"/>
  <c r="E14" i="5"/>
  <c r="G14" i="5"/>
  <c r="C14" i="5"/>
  <c r="G15" i="5" s="1"/>
  <c r="E11" i="5"/>
  <c r="F11" i="5"/>
  <c r="G11" i="5"/>
  <c r="E7" i="5"/>
  <c r="F7" i="5"/>
  <c r="G7" i="5"/>
  <c r="D10" i="5"/>
  <c r="E12" i="5" s="1"/>
  <c r="D6" i="5"/>
  <c r="D8" i="5" s="1"/>
  <c r="V20" i="5" l="1"/>
  <c r="T20" i="5"/>
  <c r="T19" i="5"/>
  <c r="W20" i="5"/>
  <c r="U20" i="5"/>
  <c r="L18" i="5"/>
  <c r="N20" i="5" s="1"/>
  <c r="L8" i="5"/>
  <c r="N8" i="5"/>
  <c r="O12" i="5"/>
  <c r="M12" i="5"/>
  <c r="N19" i="5"/>
  <c r="L7" i="5"/>
  <c r="L11" i="5"/>
  <c r="O8" i="5"/>
  <c r="L12" i="5"/>
  <c r="O19" i="5"/>
  <c r="M19" i="5"/>
  <c r="D11" i="5"/>
  <c r="D7" i="5"/>
  <c r="E15" i="5"/>
  <c r="D14" i="5"/>
  <c r="F15" i="5"/>
  <c r="E8" i="5"/>
  <c r="F8" i="5"/>
  <c r="D12" i="5"/>
  <c r="F12" i="5"/>
  <c r="G8" i="5"/>
  <c r="G12" i="5"/>
  <c r="I20" i="4"/>
  <c r="L11" i="4"/>
  <c r="L12" i="4"/>
  <c r="L13" i="4"/>
  <c r="M9" i="4"/>
  <c r="G17" i="4"/>
  <c r="J15" i="4"/>
  <c r="F15" i="4"/>
  <c r="J16" i="4"/>
  <c r="J17" i="4"/>
  <c r="K17" i="4" s="1"/>
  <c r="I22" i="4" s="1"/>
  <c r="J22" i="4" s="1"/>
  <c r="J18" i="4"/>
  <c r="K18" i="4" s="1"/>
  <c r="F17" i="4"/>
  <c r="F18" i="4"/>
  <c r="F16" i="4"/>
  <c r="G16" i="4" s="1"/>
  <c r="L6" i="4"/>
  <c r="L14" i="4" s="1"/>
  <c r="I23" i="4" l="1"/>
  <c r="J23" i="4" s="1"/>
  <c r="K16" i="4"/>
  <c r="G18" i="4"/>
  <c r="O20" i="5"/>
  <c r="L19" i="5"/>
  <c r="L20" i="5"/>
  <c r="M20" i="5"/>
  <c r="D16" i="5"/>
  <c r="D15" i="5"/>
  <c r="G16" i="5"/>
  <c r="F16" i="5"/>
  <c r="E16" i="5"/>
  <c r="L7" i="4"/>
  <c r="L8" i="4" s="1"/>
  <c r="M8" i="4" s="1"/>
  <c r="M3" i="4"/>
  <c r="M5" i="4"/>
  <c r="M6" i="4"/>
  <c r="M4" i="4"/>
  <c r="I21" i="4"/>
  <c r="J21" i="4" s="1"/>
  <c r="J12" i="4"/>
  <c r="J13" i="4"/>
  <c r="J11" i="4"/>
  <c r="H12" i="4"/>
  <c r="H13" i="4"/>
  <c r="H11" i="4"/>
  <c r="K9" i="4"/>
  <c r="J6" i="4"/>
  <c r="J19" i="4" s="1"/>
  <c r="K19" i="4" s="1"/>
  <c r="L16" i="4" l="1"/>
  <c r="M7" i="4"/>
  <c r="K5" i="4"/>
  <c r="J14" i="4"/>
  <c r="K3" i="4"/>
  <c r="J7" i="4"/>
  <c r="J8" i="4" s="1"/>
  <c r="K8" i="4" s="1"/>
  <c r="L17" i="4"/>
  <c r="L19" i="4"/>
  <c r="K6" i="4"/>
  <c r="K4" i="4"/>
  <c r="L18" i="4"/>
  <c r="I9" i="4"/>
  <c r="I5" i="4"/>
  <c r="H6" i="4"/>
  <c r="H14" i="4" s="1"/>
  <c r="I4" i="4" l="1"/>
  <c r="I3" i="4"/>
  <c r="I6" i="4"/>
  <c r="K7" i="4"/>
  <c r="F12" i="4"/>
  <c r="F13" i="4"/>
  <c r="F11" i="4"/>
  <c r="G9" i="4"/>
  <c r="G5" i="4"/>
  <c r="F6" i="4"/>
  <c r="F19" i="4" s="1"/>
  <c r="G19" i="4" l="1"/>
  <c r="I24" i="4"/>
  <c r="J24" i="4" s="1"/>
  <c r="G4" i="4"/>
  <c r="G3" i="4"/>
  <c r="F14" i="4"/>
  <c r="G6" i="4"/>
  <c r="N6" i="4"/>
  <c r="O6" i="4" s="1"/>
  <c r="N9" i="4"/>
  <c r="O9" i="4" s="1"/>
  <c r="N4" i="4"/>
  <c r="N5" i="4"/>
  <c r="O5" i="4" s="1"/>
  <c r="N3" i="4"/>
  <c r="E9" i="4"/>
  <c r="C9" i="4"/>
  <c r="F7" i="4"/>
  <c r="H7" i="4"/>
  <c r="E4" i="4"/>
  <c r="E6" i="4"/>
  <c r="E3" i="4"/>
  <c r="C4" i="4"/>
  <c r="C3" i="4"/>
  <c r="B7" i="4"/>
  <c r="C7" i="4" s="1"/>
  <c r="D6" i="4"/>
  <c r="D7" i="4" s="1"/>
  <c r="B6" i="4"/>
  <c r="C5" i="4" s="1"/>
  <c r="D8" i="4" l="1"/>
  <c r="E8" i="4" s="1"/>
  <c r="E7" i="4"/>
  <c r="N7" i="4"/>
  <c r="O7" i="4" s="1"/>
  <c r="I7" i="4"/>
  <c r="B8" i="4"/>
  <c r="C8" i="4" s="1"/>
  <c r="F8" i="4"/>
  <c r="G8" i="4" s="1"/>
  <c r="G7" i="4"/>
  <c r="C6" i="4"/>
  <c r="K21" i="4"/>
  <c r="K22" i="4"/>
  <c r="K24" i="4"/>
  <c r="K23" i="4"/>
  <c r="E5" i="4"/>
  <c r="H19" i="4"/>
  <c r="H16" i="4"/>
  <c r="H17" i="4"/>
  <c r="H18" i="4"/>
  <c r="O3" i="4"/>
  <c r="O4" i="4"/>
  <c r="H8" i="4"/>
  <c r="H8" i="3"/>
  <c r="F17" i="3"/>
  <c r="C17" i="3"/>
  <c r="F16" i="3"/>
  <c r="D8" i="3"/>
  <c r="E7" i="3" s="1"/>
  <c r="F7" i="3"/>
  <c r="B8" i="3"/>
  <c r="C7" i="3" s="1"/>
  <c r="F6" i="3"/>
  <c r="D18" i="3"/>
  <c r="E18" i="3" s="1"/>
  <c r="B18" i="3"/>
  <c r="C16" i="3" s="1"/>
  <c r="F15" i="3"/>
  <c r="F14" i="3"/>
  <c r="F13" i="3"/>
  <c r="F12" i="3"/>
  <c r="C12" i="3"/>
  <c r="F5" i="3"/>
  <c r="F4" i="3"/>
  <c r="F3" i="3"/>
  <c r="C3" i="3"/>
  <c r="F2" i="3"/>
  <c r="N8" i="4" l="1"/>
  <c r="O8" i="4" s="1"/>
  <c r="I8" i="4"/>
  <c r="C4" i="3"/>
  <c r="E17" i="3"/>
  <c r="E16" i="3"/>
  <c r="C13" i="3"/>
  <c r="C14" i="3"/>
  <c r="C15" i="3"/>
  <c r="C6" i="3"/>
  <c r="E6" i="3"/>
  <c r="E8" i="3"/>
  <c r="C2" i="3"/>
  <c r="C5" i="3"/>
  <c r="E2" i="3"/>
  <c r="E4" i="3"/>
  <c r="E13" i="3"/>
  <c r="E15" i="3"/>
  <c r="E12" i="3"/>
  <c r="E14" i="3"/>
  <c r="F18" i="3"/>
  <c r="E3" i="3"/>
  <c r="E5" i="3"/>
  <c r="F8" i="3"/>
  <c r="C8" i="3"/>
  <c r="C18" i="3"/>
  <c r="D14" i="2"/>
  <c r="E14" i="2" s="1"/>
  <c r="B14" i="2"/>
  <c r="C10" i="2" s="1"/>
  <c r="F13" i="2"/>
  <c r="F12" i="2"/>
  <c r="F11" i="2"/>
  <c r="F10" i="2"/>
  <c r="D6" i="2"/>
  <c r="E5" i="2" s="1"/>
  <c r="B6" i="2"/>
  <c r="F5" i="2"/>
  <c r="F4" i="2"/>
  <c r="F3" i="2"/>
  <c r="F2" i="2"/>
  <c r="C12" i="2" l="1"/>
  <c r="E11" i="2"/>
  <c r="E13" i="2"/>
  <c r="F14" i="2"/>
  <c r="E3" i="2"/>
  <c r="F6" i="2"/>
  <c r="C2" i="2"/>
  <c r="C4" i="2"/>
  <c r="E2" i="2"/>
  <c r="C3" i="2"/>
  <c r="E4" i="2"/>
  <c r="C5" i="2"/>
  <c r="C6" i="2"/>
  <c r="E6" i="2"/>
  <c r="E10" i="2"/>
  <c r="C11" i="2"/>
  <c r="E12" i="2"/>
  <c r="C13" i="2"/>
  <c r="C14" i="2"/>
  <c r="E12" i="1"/>
  <c r="E15" i="1"/>
  <c r="E16" i="1"/>
  <c r="C12" i="1"/>
  <c r="C13" i="1"/>
  <c r="C14" i="1"/>
  <c r="C16" i="1"/>
  <c r="C11" i="1"/>
  <c r="E3" i="1"/>
  <c r="E7" i="1"/>
  <c r="F11" i="1"/>
  <c r="F12" i="1"/>
  <c r="F13" i="1"/>
  <c r="F14" i="1"/>
  <c r="F15" i="1"/>
  <c r="B16" i="1"/>
  <c r="C15" i="1" s="1"/>
  <c r="D16" i="1"/>
  <c r="E13" i="1" s="1"/>
  <c r="D7" i="1"/>
  <c r="E4" i="1" s="1"/>
  <c r="B7" i="1"/>
  <c r="F7" i="1" s="1"/>
  <c r="F2" i="1"/>
  <c r="F4" i="1"/>
  <c r="F5" i="1"/>
  <c r="F6" i="1"/>
  <c r="F3" i="1"/>
  <c r="C3" i="1" l="1"/>
  <c r="C2" i="1"/>
  <c r="C7" i="1"/>
  <c r="E6" i="1"/>
  <c r="C5" i="1"/>
  <c r="C6" i="1"/>
  <c r="E5" i="1"/>
  <c r="E14" i="1"/>
  <c r="C4" i="1"/>
  <c r="E2" i="1"/>
  <c r="E11" i="1"/>
  <c r="F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Luffi</author>
  </authors>
  <commentList>
    <comment ref="J3" authorId="0" shapeId="0" xr:uid="{00000000-0006-0000-0300-000001000000}">
      <text>
        <r>
          <rPr>
            <b/>
            <sz val="12"/>
            <color indexed="81"/>
            <rFont val="Arial"/>
            <family val="2"/>
          </rPr>
          <t>511</t>
        </r>
      </text>
    </comment>
    <comment ref="L3" authorId="0" shapeId="0" xr:uid="{00000000-0006-0000-0300-000002000000}">
      <text>
        <r>
          <rPr>
            <b/>
            <sz val="12"/>
            <color indexed="81"/>
            <rFont val="Arial"/>
            <family val="2"/>
          </rPr>
          <t>624</t>
        </r>
      </text>
    </comment>
  </commentList>
</comments>
</file>

<file path=xl/sharedStrings.xml><?xml version="1.0" encoding="utf-8"?>
<sst xmlns="http://schemas.openxmlformats.org/spreadsheetml/2006/main" count="207" uniqueCount="59">
  <si>
    <t>40-55</t>
  </si>
  <si>
    <t>30-40</t>
  </si>
  <si>
    <t>&lt;30</t>
  </si>
  <si>
    <t>Peso</t>
  </si>
  <si>
    <t>N°</t>
  </si>
  <si>
    <t>Total</t>
  </si>
  <si>
    <t>Peso medio</t>
  </si>
  <si>
    <t>Rootex</t>
  </si>
  <si>
    <t>S/Rootex</t>
  </si>
  <si>
    <t>%</t>
  </si>
  <si>
    <t>&gt;55</t>
  </si>
  <si>
    <t>25-45</t>
  </si>
  <si>
    <t>45-55</t>
  </si>
  <si>
    <t>&lt;25</t>
  </si>
  <si>
    <t>55-60</t>
  </si>
  <si>
    <t>&gt;60</t>
  </si>
  <si>
    <t>Tallos</t>
  </si>
  <si>
    <t>50-55</t>
  </si>
  <si>
    <t>45-50</t>
  </si>
  <si>
    <t>40-45</t>
  </si>
  <si>
    <t>25-40</t>
  </si>
  <si>
    <t>Tallos/3,33m</t>
  </si>
  <si>
    <t>Tall/m</t>
  </si>
  <si>
    <t>Exp</t>
  </si>
  <si>
    <t>S/Ch</t>
  </si>
  <si>
    <t>sem</t>
  </si>
  <si>
    <t>Tierra</t>
  </si>
  <si>
    <t>Tolva</t>
  </si>
  <si>
    <t>Murad</t>
  </si>
  <si>
    <t>Jaimez (huellas)</t>
  </si>
  <si>
    <t>Gustavo (ensayo)</t>
  </si>
  <si>
    <t>Has</t>
  </si>
  <si>
    <t>Álvaro (ensayo)</t>
  </si>
  <si>
    <t>Ax</t>
  </si>
  <si>
    <t>L38</t>
  </si>
  <si>
    <t>Camillo (s/Rootex)</t>
  </si>
  <si>
    <t>Rto/Ha</t>
  </si>
  <si>
    <t>Murad (s/Rootex)</t>
  </si>
  <si>
    <t>Superficie</t>
  </si>
  <si>
    <t>Superf.</t>
  </si>
  <si>
    <t>PRODUCCION TOTAL POR VARIEDAD  CHACRA  SANTA ANA - MARISOL</t>
  </si>
  <si>
    <t>Sem</t>
  </si>
  <si>
    <t>Lote</t>
  </si>
  <si>
    <t>Atlantic</t>
  </si>
  <si>
    <t>Agata</t>
  </si>
  <si>
    <t>Testigo</t>
  </si>
  <si>
    <t>S/Ch.</t>
  </si>
  <si>
    <t>Sup.</t>
  </si>
  <si>
    <t>6 kg/ha</t>
  </si>
  <si>
    <t>Trat 1</t>
  </si>
  <si>
    <t>Trat 2</t>
  </si>
  <si>
    <t>Asterix</t>
  </si>
  <si>
    <t>13,33 mts.</t>
  </si>
  <si>
    <t>30-55</t>
  </si>
  <si>
    <t>T6</t>
  </si>
  <si>
    <t>T5</t>
  </si>
  <si>
    <t>T7</t>
  </si>
  <si>
    <t>T8</t>
  </si>
  <si>
    <t>Ag L37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</si>
</sst>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0.000"/>
    <numFmt numFmtId="166" formatCode="0.0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1"/>
      <name val="Arial"/>
      <family val="2"/>
    </font>
    <font>
      <sz val="11"/>
      <color indexed="8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167" fontId="2" fillId="0" borderId="8" xfId="1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167" fontId="2" fillId="0" borderId="10" xfId="1" applyNumberFormat="1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67" fontId="2" fillId="0" borderId="17" xfId="1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167" fontId="2" fillId="0" borderId="23" xfId="1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167" fontId="3" fillId="0" borderId="25" xfId="1" applyNumberFormat="1" applyFont="1" applyBorder="1" applyAlignment="1">
      <alignment horizontal="center"/>
    </xf>
    <xf numFmtId="3" fontId="3" fillId="0" borderId="24" xfId="0" applyNumberFormat="1" applyFont="1" applyBorder="1" applyAlignment="1">
      <alignment horizontal="center"/>
    </xf>
    <xf numFmtId="167" fontId="2" fillId="0" borderId="26" xfId="1" applyNumberFormat="1" applyFont="1" applyBorder="1" applyAlignment="1">
      <alignment horizontal="center"/>
    </xf>
    <xf numFmtId="167" fontId="2" fillId="0" borderId="27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7" fontId="2" fillId="0" borderId="20" xfId="1" applyNumberFormat="1" applyFont="1" applyBorder="1" applyAlignment="1">
      <alignment horizontal="center"/>
    </xf>
    <xf numFmtId="167" fontId="2" fillId="0" borderId="28" xfId="1" applyNumberFormat="1" applyFont="1" applyBorder="1" applyAlignment="1">
      <alignment horizontal="center"/>
    </xf>
    <xf numFmtId="167" fontId="2" fillId="0" borderId="25" xfId="1" applyNumberFormat="1" applyFont="1" applyBorder="1" applyAlignment="1">
      <alignment horizontal="center"/>
    </xf>
    <xf numFmtId="2" fontId="3" fillId="2" borderId="9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67" fontId="2" fillId="0" borderId="1" xfId="1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/>
    </xf>
    <xf numFmtId="0" fontId="6" fillId="0" borderId="0" xfId="0" applyFont="1"/>
    <xf numFmtId="2" fontId="6" fillId="0" borderId="1" xfId="1" applyNumberFormat="1" applyFont="1" applyBorder="1" applyAlignment="1">
      <alignment horizontal="center"/>
    </xf>
    <xf numFmtId="2" fontId="6" fillId="2" borderId="1" xfId="1" applyNumberFormat="1" applyFont="1" applyFill="1" applyBorder="1" applyAlignment="1">
      <alignment horizontal="center"/>
    </xf>
    <xf numFmtId="9" fontId="6" fillId="2" borderId="1" xfId="1" applyFont="1" applyFill="1" applyBorder="1" applyAlignment="1">
      <alignment horizontal="center"/>
    </xf>
    <xf numFmtId="0" fontId="2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7" fillId="0" borderId="3" xfId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6" fillId="0" borderId="1" xfId="0" applyFont="1" applyBorder="1"/>
    <xf numFmtId="0" fontId="8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/>
    </xf>
    <xf numFmtId="3" fontId="9" fillId="3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167" fontId="9" fillId="0" borderId="1" xfId="1" applyNumberFormat="1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center"/>
    </xf>
    <xf numFmtId="167" fontId="9" fillId="3" borderId="1" xfId="1" applyNumberFormat="1" applyFont="1" applyFill="1" applyBorder="1" applyAlignment="1">
      <alignment horizontal="center"/>
    </xf>
    <xf numFmtId="4" fontId="9" fillId="3" borderId="1" xfId="0" applyNumberFormat="1" applyFont="1" applyFill="1" applyBorder="1" applyAlignment="1">
      <alignment horizontal="center"/>
    </xf>
  </cellXfs>
  <cellStyles count="5">
    <cellStyle name="Moneda 2" xfId="3" xr:uid="{00000000-0005-0000-0000-000000000000}"/>
    <cellStyle name="Moneda 3" xfId="2" xr:uid="{00000000-0005-0000-0000-000001000000}"/>
    <cellStyle name="Normal" xfId="0" builtinId="0"/>
    <cellStyle name="Porcentaje" xfId="1" builtinId="5"/>
    <cellStyle name="Porcentaje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'At 22-12'!$B$1</c:f>
              <c:strCache>
                <c:ptCount val="1"/>
                <c:pt idx="0">
                  <c:v>Peso</c:v>
                </c:pt>
              </c:strCache>
            </c:strRef>
          </c:tx>
          <c:marker>
            <c:symbol val="none"/>
          </c:marker>
          <c:cat>
            <c:strRef>
              <c:f>'At 22-12'!$A$2:$A$16</c:f>
              <c:strCache>
                <c:ptCount val="15"/>
                <c:pt idx="0">
                  <c:v>&gt;60</c:v>
                </c:pt>
                <c:pt idx="1">
                  <c:v>55-60</c:v>
                </c:pt>
                <c:pt idx="2">
                  <c:v>40-55</c:v>
                </c:pt>
                <c:pt idx="3">
                  <c:v>30-40</c:v>
                </c:pt>
                <c:pt idx="4">
                  <c:v>&lt;30</c:v>
                </c:pt>
                <c:pt idx="5">
                  <c:v>Total</c:v>
                </c:pt>
                <c:pt idx="8">
                  <c:v>S/Rootex</c:v>
                </c:pt>
                <c:pt idx="9">
                  <c:v>&gt;60</c:v>
                </c:pt>
                <c:pt idx="10">
                  <c:v>55-60</c:v>
                </c:pt>
                <c:pt idx="11">
                  <c:v>40-55</c:v>
                </c:pt>
                <c:pt idx="12">
                  <c:v>30-40</c:v>
                </c:pt>
                <c:pt idx="13">
                  <c:v>&lt;30</c:v>
                </c:pt>
                <c:pt idx="14">
                  <c:v>Total</c:v>
                </c:pt>
              </c:strCache>
            </c:strRef>
          </c:cat>
          <c:val>
            <c:numRef>
              <c:f>'At 22-12'!$B$2:$B$16</c:f>
              <c:numCache>
                <c:formatCode>General</c:formatCode>
                <c:ptCount val="15"/>
                <c:pt idx="0">
                  <c:v>0</c:v>
                </c:pt>
                <c:pt idx="1">
                  <c:v>2.34</c:v>
                </c:pt>
                <c:pt idx="2">
                  <c:v>6.7</c:v>
                </c:pt>
                <c:pt idx="3">
                  <c:v>1</c:v>
                </c:pt>
                <c:pt idx="4">
                  <c:v>0.2</c:v>
                </c:pt>
                <c:pt idx="5">
                  <c:v>10.239999999999998</c:v>
                </c:pt>
                <c:pt idx="8">
                  <c:v>0</c:v>
                </c:pt>
                <c:pt idx="9">
                  <c:v>0.4</c:v>
                </c:pt>
                <c:pt idx="10">
                  <c:v>2.2999999999999998</c:v>
                </c:pt>
                <c:pt idx="11">
                  <c:v>5.093</c:v>
                </c:pt>
                <c:pt idx="12">
                  <c:v>0.99</c:v>
                </c:pt>
                <c:pt idx="13">
                  <c:v>0.35</c:v>
                </c:pt>
                <c:pt idx="14">
                  <c:v>9.1329999999999991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A-47DA-8A41-591D69B35D22}"/>
            </c:ext>
          </c:extLst>
        </c:ser>
        <c:ser>
          <c:idx val="1"/>
          <c:order val="1"/>
          <c:tx>
            <c:strRef>
              <c:f>'At 22-12'!$C$1</c:f>
              <c:strCache>
                <c:ptCount val="1"/>
                <c:pt idx="0">
                  <c:v>%</c:v>
                </c:pt>
              </c:strCache>
            </c:strRef>
          </c:tx>
          <c:marker>
            <c:symbol val="none"/>
          </c:marker>
          <c:cat>
            <c:strRef>
              <c:f>'At 22-12'!$A$2:$A$16</c:f>
              <c:strCache>
                <c:ptCount val="15"/>
                <c:pt idx="0">
                  <c:v>&gt;60</c:v>
                </c:pt>
                <c:pt idx="1">
                  <c:v>55-60</c:v>
                </c:pt>
                <c:pt idx="2">
                  <c:v>40-55</c:v>
                </c:pt>
                <c:pt idx="3">
                  <c:v>30-40</c:v>
                </c:pt>
                <c:pt idx="4">
                  <c:v>&lt;30</c:v>
                </c:pt>
                <c:pt idx="5">
                  <c:v>Total</c:v>
                </c:pt>
                <c:pt idx="8">
                  <c:v>S/Rootex</c:v>
                </c:pt>
                <c:pt idx="9">
                  <c:v>&gt;60</c:v>
                </c:pt>
                <c:pt idx="10">
                  <c:v>55-60</c:v>
                </c:pt>
                <c:pt idx="11">
                  <c:v>40-55</c:v>
                </c:pt>
                <c:pt idx="12">
                  <c:v>30-40</c:v>
                </c:pt>
                <c:pt idx="13">
                  <c:v>&lt;30</c:v>
                </c:pt>
                <c:pt idx="14">
                  <c:v>Total</c:v>
                </c:pt>
              </c:strCache>
            </c:strRef>
          </c:cat>
          <c:val>
            <c:numRef>
              <c:f>'At 22-12'!$C$2:$C$16</c:f>
              <c:numCache>
                <c:formatCode>0%</c:formatCode>
                <c:ptCount val="15"/>
                <c:pt idx="0">
                  <c:v>0</c:v>
                </c:pt>
                <c:pt idx="1">
                  <c:v>0.22851562500000003</c:v>
                </c:pt>
                <c:pt idx="2">
                  <c:v>0.65429687500000011</c:v>
                </c:pt>
                <c:pt idx="3">
                  <c:v>9.7656250000000014E-2</c:v>
                </c:pt>
                <c:pt idx="4">
                  <c:v>1.9531250000000003E-2</c:v>
                </c:pt>
                <c:pt idx="5">
                  <c:v>1</c:v>
                </c:pt>
                <c:pt idx="8" formatCode="General">
                  <c:v>0</c:v>
                </c:pt>
                <c:pt idx="9">
                  <c:v>4.3797218876601346E-2</c:v>
                </c:pt>
                <c:pt idx="10">
                  <c:v>0.25183400854045768</c:v>
                </c:pt>
                <c:pt idx="11">
                  <c:v>0.55764808934632659</c:v>
                </c:pt>
                <c:pt idx="12">
                  <c:v>0.10839811671958832</c:v>
                </c:pt>
                <c:pt idx="13">
                  <c:v>3.8322566517026167E-2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A-47DA-8A41-591D69B35D22}"/>
            </c:ext>
          </c:extLst>
        </c:ser>
        <c:ser>
          <c:idx val="2"/>
          <c:order val="2"/>
          <c:tx>
            <c:strRef>
              <c:f>'At 22-12'!$D$1</c:f>
              <c:strCache>
                <c:ptCount val="1"/>
                <c:pt idx="0">
                  <c:v>N°</c:v>
                </c:pt>
              </c:strCache>
            </c:strRef>
          </c:tx>
          <c:marker>
            <c:symbol val="none"/>
          </c:marker>
          <c:cat>
            <c:strRef>
              <c:f>'At 22-12'!$A$2:$A$16</c:f>
              <c:strCache>
                <c:ptCount val="15"/>
                <c:pt idx="0">
                  <c:v>&gt;60</c:v>
                </c:pt>
                <c:pt idx="1">
                  <c:v>55-60</c:v>
                </c:pt>
                <c:pt idx="2">
                  <c:v>40-55</c:v>
                </c:pt>
                <c:pt idx="3">
                  <c:v>30-40</c:v>
                </c:pt>
                <c:pt idx="4">
                  <c:v>&lt;30</c:v>
                </c:pt>
                <c:pt idx="5">
                  <c:v>Total</c:v>
                </c:pt>
                <c:pt idx="8">
                  <c:v>S/Rootex</c:v>
                </c:pt>
                <c:pt idx="9">
                  <c:v>&gt;60</c:v>
                </c:pt>
                <c:pt idx="10">
                  <c:v>55-60</c:v>
                </c:pt>
                <c:pt idx="11">
                  <c:v>40-55</c:v>
                </c:pt>
                <c:pt idx="12">
                  <c:v>30-40</c:v>
                </c:pt>
                <c:pt idx="13">
                  <c:v>&lt;30</c:v>
                </c:pt>
                <c:pt idx="14">
                  <c:v>Total</c:v>
                </c:pt>
              </c:strCache>
            </c:strRef>
          </c:cat>
          <c:val>
            <c:numRef>
              <c:f>'At 22-12'!$D$2:$D$16</c:f>
              <c:numCache>
                <c:formatCode>General</c:formatCode>
                <c:ptCount val="15"/>
                <c:pt idx="0">
                  <c:v>0</c:v>
                </c:pt>
                <c:pt idx="1">
                  <c:v>19</c:v>
                </c:pt>
                <c:pt idx="2">
                  <c:v>106</c:v>
                </c:pt>
                <c:pt idx="3">
                  <c:v>31</c:v>
                </c:pt>
                <c:pt idx="4">
                  <c:v>15</c:v>
                </c:pt>
                <c:pt idx="5">
                  <c:v>171</c:v>
                </c:pt>
                <c:pt idx="8">
                  <c:v>0</c:v>
                </c:pt>
                <c:pt idx="9">
                  <c:v>2</c:v>
                </c:pt>
                <c:pt idx="10">
                  <c:v>20</c:v>
                </c:pt>
                <c:pt idx="11">
                  <c:v>76</c:v>
                </c:pt>
                <c:pt idx="12">
                  <c:v>30</c:v>
                </c:pt>
                <c:pt idx="13">
                  <c:v>24</c:v>
                </c:pt>
                <c:pt idx="14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A-47DA-8A41-591D69B35D22}"/>
            </c:ext>
          </c:extLst>
        </c:ser>
        <c:ser>
          <c:idx val="3"/>
          <c:order val="3"/>
          <c:tx>
            <c:strRef>
              <c:f>'At 22-12'!$E$1</c:f>
              <c:strCache>
                <c:ptCount val="1"/>
                <c:pt idx="0">
                  <c:v>%</c:v>
                </c:pt>
              </c:strCache>
            </c:strRef>
          </c:tx>
          <c:marker>
            <c:symbol val="none"/>
          </c:marker>
          <c:cat>
            <c:strRef>
              <c:f>'At 22-12'!$A$2:$A$16</c:f>
              <c:strCache>
                <c:ptCount val="15"/>
                <c:pt idx="0">
                  <c:v>&gt;60</c:v>
                </c:pt>
                <c:pt idx="1">
                  <c:v>55-60</c:v>
                </c:pt>
                <c:pt idx="2">
                  <c:v>40-55</c:v>
                </c:pt>
                <c:pt idx="3">
                  <c:v>30-40</c:v>
                </c:pt>
                <c:pt idx="4">
                  <c:v>&lt;30</c:v>
                </c:pt>
                <c:pt idx="5">
                  <c:v>Total</c:v>
                </c:pt>
                <c:pt idx="8">
                  <c:v>S/Rootex</c:v>
                </c:pt>
                <c:pt idx="9">
                  <c:v>&gt;60</c:v>
                </c:pt>
                <c:pt idx="10">
                  <c:v>55-60</c:v>
                </c:pt>
                <c:pt idx="11">
                  <c:v>40-55</c:v>
                </c:pt>
                <c:pt idx="12">
                  <c:v>30-40</c:v>
                </c:pt>
                <c:pt idx="13">
                  <c:v>&lt;30</c:v>
                </c:pt>
                <c:pt idx="14">
                  <c:v>Total</c:v>
                </c:pt>
              </c:strCache>
            </c:strRef>
          </c:cat>
          <c:val>
            <c:numRef>
              <c:f>'At 22-12'!$E$2:$E$16</c:f>
              <c:numCache>
                <c:formatCode>0%</c:formatCode>
                <c:ptCount val="15"/>
                <c:pt idx="0">
                  <c:v>0</c:v>
                </c:pt>
                <c:pt idx="1">
                  <c:v>0.1111111111111111</c:v>
                </c:pt>
                <c:pt idx="2">
                  <c:v>0.61988304093567248</c:v>
                </c:pt>
                <c:pt idx="3">
                  <c:v>0.18128654970760233</c:v>
                </c:pt>
                <c:pt idx="4">
                  <c:v>8.771929824561403E-2</c:v>
                </c:pt>
                <c:pt idx="5">
                  <c:v>1</c:v>
                </c:pt>
                <c:pt idx="8" formatCode="General">
                  <c:v>0</c:v>
                </c:pt>
                <c:pt idx="9">
                  <c:v>1.3157894736842105E-2</c:v>
                </c:pt>
                <c:pt idx="10">
                  <c:v>0.13157894736842105</c:v>
                </c:pt>
                <c:pt idx="11">
                  <c:v>0.5</c:v>
                </c:pt>
                <c:pt idx="12">
                  <c:v>0.19736842105263158</c:v>
                </c:pt>
                <c:pt idx="13">
                  <c:v>0.15789473684210525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FA-47DA-8A41-591D69B35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57370624"/>
        <c:axId val="157385088"/>
      </c:lineChart>
      <c:catAx>
        <c:axId val="157370624"/>
        <c:scaling>
          <c:orientation val="minMax"/>
        </c:scaling>
        <c:delete val="0"/>
        <c:axPos val="b"/>
        <c:title>
          <c:overlay val="0"/>
        </c:title>
        <c:numFmt formatCode="General" sourceLinked="0"/>
        <c:majorTickMark val="none"/>
        <c:minorTickMark val="none"/>
        <c:tickLblPos val="nextTo"/>
        <c:crossAx val="157385088"/>
        <c:crosses val="autoZero"/>
        <c:auto val="1"/>
        <c:lblAlgn val="ctr"/>
        <c:lblOffset val="100"/>
        <c:noMultiLvlLbl val="0"/>
      </c:catAx>
      <c:valAx>
        <c:axId val="15738508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out"/>
        <c:minorTickMark val="none"/>
        <c:tickLblPos val="nextTo"/>
        <c:crossAx val="157370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171449</xdr:colOff>
      <xdr:row>11</xdr:row>
      <xdr:rowOff>100012</xdr:rowOff>
    </xdr:from>
    <xdr:to>
      <xdr:col>16</xdr:col>
      <xdr:colOff>180974</xdr:colOff>
      <xdr:row>24</xdr:row>
      <xdr:rowOff>19050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20" sqref="C20"/>
    </sheetView>
  </sheetViews>
  <sheetFormatPr baseColWidth="10" defaultRowHeight="14.25" x14ac:dyDescent="0.2"/>
  <cols>
    <col min="1" max="6" width="11.42578125" style="59"/>
    <col min="7" max="16384" width="11.42578125" style="45"/>
  </cols>
  <sheetData>
    <row r="1" spans="1:7" ht="15" x14ac:dyDescent="0.25">
      <c r="A1" s="44" t="s">
        <v>7</v>
      </c>
      <c r="B1" s="44" t="s">
        <v>3</v>
      </c>
      <c r="C1" s="44" t="s">
        <v>9</v>
      </c>
      <c r="D1" s="44" t="s">
        <v>4</v>
      </c>
      <c r="E1" s="44" t="s">
        <v>9</v>
      </c>
      <c r="F1" s="44" t="s">
        <v>6</v>
      </c>
      <c r="G1" s="57" t="s">
        <v>16</v>
      </c>
    </row>
    <row r="2" spans="1:7" ht="15" x14ac:dyDescent="0.25">
      <c r="A2" s="44" t="s">
        <v>15</v>
      </c>
      <c r="B2" s="46">
        <v>0</v>
      </c>
      <c r="C2" s="47">
        <f>B2/$B$7</f>
        <v>0</v>
      </c>
      <c r="D2" s="46">
        <v>0</v>
      </c>
      <c r="E2" s="47">
        <f>D2/$D$7</f>
        <v>0</v>
      </c>
      <c r="F2" s="58" t="e">
        <f>B2/D2</f>
        <v>#DIV/0!</v>
      </c>
    </row>
    <row r="3" spans="1:7" ht="15" x14ac:dyDescent="0.25">
      <c r="A3" s="44" t="s">
        <v>14</v>
      </c>
      <c r="B3" s="46">
        <v>2.34</v>
      </c>
      <c r="C3" s="47">
        <f t="shared" ref="C3:C7" si="0">B3/$B$7</f>
        <v>0.22851562500000003</v>
      </c>
      <c r="D3" s="46">
        <v>19</v>
      </c>
      <c r="E3" s="47">
        <f t="shared" ref="E3:E7" si="1">D3/$D$7</f>
        <v>0.1111111111111111</v>
      </c>
      <c r="F3" s="58">
        <f>B3/D3</f>
        <v>0.12315789473684209</v>
      </c>
    </row>
    <row r="4" spans="1:7" ht="15" x14ac:dyDescent="0.25">
      <c r="A4" s="44" t="s">
        <v>0</v>
      </c>
      <c r="B4" s="46">
        <v>6.7</v>
      </c>
      <c r="C4" s="47">
        <f t="shared" si="0"/>
        <v>0.65429687500000011</v>
      </c>
      <c r="D4" s="46">
        <v>106</v>
      </c>
      <c r="E4" s="47">
        <f t="shared" si="1"/>
        <v>0.61988304093567248</v>
      </c>
      <c r="F4" s="58">
        <f t="shared" ref="F4:F7" si="2">B4/D4</f>
        <v>6.3207547169811321E-2</v>
      </c>
    </row>
    <row r="5" spans="1:7" ht="15" x14ac:dyDescent="0.25">
      <c r="A5" s="44" t="s">
        <v>1</v>
      </c>
      <c r="B5" s="46">
        <v>1</v>
      </c>
      <c r="C5" s="47">
        <f t="shared" si="0"/>
        <v>9.7656250000000014E-2</v>
      </c>
      <c r="D5" s="46">
        <v>31</v>
      </c>
      <c r="E5" s="47">
        <f t="shared" si="1"/>
        <v>0.18128654970760233</v>
      </c>
      <c r="F5" s="58">
        <f t="shared" si="2"/>
        <v>3.2258064516129031E-2</v>
      </c>
    </row>
    <row r="6" spans="1:7" ht="15" x14ac:dyDescent="0.25">
      <c r="A6" s="44" t="s">
        <v>2</v>
      </c>
      <c r="B6" s="46">
        <v>0.2</v>
      </c>
      <c r="C6" s="47">
        <f>B6/$B$7</f>
        <v>1.9531250000000003E-2</v>
      </c>
      <c r="D6" s="46">
        <v>15</v>
      </c>
      <c r="E6" s="47">
        <f t="shared" si="1"/>
        <v>8.771929824561403E-2</v>
      </c>
      <c r="F6" s="58">
        <f t="shared" si="2"/>
        <v>1.3333333333333334E-2</v>
      </c>
    </row>
    <row r="7" spans="1:7" ht="15" x14ac:dyDescent="0.25">
      <c r="A7" s="44" t="s">
        <v>5</v>
      </c>
      <c r="B7" s="46">
        <f>SUM(B2:B6)</f>
        <v>10.239999999999998</v>
      </c>
      <c r="C7" s="47">
        <f t="shared" si="0"/>
        <v>1</v>
      </c>
      <c r="D7" s="46">
        <f>SUM(D2:D6)</f>
        <v>171</v>
      </c>
      <c r="E7" s="47">
        <f t="shared" si="1"/>
        <v>1</v>
      </c>
      <c r="F7" s="58">
        <f t="shared" si="2"/>
        <v>5.9883040935672503E-2</v>
      </c>
      <c r="G7" s="45">
        <v>68</v>
      </c>
    </row>
    <row r="10" spans="1:7" ht="15" x14ac:dyDescent="0.25">
      <c r="A10" s="44" t="s">
        <v>8</v>
      </c>
      <c r="B10" s="44" t="s">
        <v>3</v>
      </c>
      <c r="C10" s="44" t="s">
        <v>9</v>
      </c>
      <c r="D10" s="44" t="s">
        <v>4</v>
      </c>
      <c r="E10" s="44" t="s">
        <v>9</v>
      </c>
      <c r="F10" s="44" t="s">
        <v>6</v>
      </c>
    </row>
    <row r="11" spans="1:7" ht="15" x14ac:dyDescent="0.25">
      <c r="A11" s="44" t="s">
        <v>15</v>
      </c>
      <c r="B11" s="46">
        <v>0.4</v>
      </c>
      <c r="C11" s="47">
        <f>B11/$B$16</f>
        <v>4.3797218876601346E-2</v>
      </c>
      <c r="D11" s="46">
        <v>2</v>
      </c>
      <c r="E11" s="47">
        <f>D11/$D$16</f>
        <v>1.3157894736842105E-2</v>
      </c>
      <c r="F11" s="58">
        <f>B11/D11</f>
        <v>0.2</v>
      </c>
    </row>
    <row r="12" spans="1:7" ht="15" x14ac:dyDescent="0.25">
      <c r="A12" s="44" t="s">
        <v>14</v>
      </c>
      <c r="B12" s="46">
        <v>2.2999999999999998</v>
      </c>
      <c r="C12" s="47">
        <f t="shared" ref="C12:C16" si="3">B12/$B$16</f>
        <v>0.25183400854045768</v>
      </c>
      <c r="D12" s="46">
        <v>20</v>
      </c>
      <c r="E12" s="47">
        <f t="shared" ref="E12:E16" si="4">D12/$D$16</f>
        <v>0.13157894736842105</v>
      </c>
      <c r="F12" s="58">
        <f>B12/D12</f>
        <v>0.11499999999999999</v>
      </c>
    </row>
    <row r="13" spans="1:7" ht="15" x14ac:dyDescent="0.25">
      <c r="A13" s="44" t="s">
        <v>0</v>
      </c>
      <c r="B13" s="46">
        <v>5.093</v>
      </c>
      <c r="C13" s="47">
        <f t="shared" si="3"/>
        <v>0.55764808934632659</v>
      </c>
      <c r="D13" s="46">
        <v>76</v>
      </c>
      <c r="E13" s="47">
        <f t="shared" si="4"/>
        <v>0.5</v>
      </c>
      <c r="F13" s="58">
        <f t="shared" ref="F13:F16" si="5">B13/D13</f>
        <v>6.7013157894736844E-2</v>
      </c>
    </row>
    <row r="14" spans="1:7" ht="15" x14ac:dyDescent="0.25">
      <c r="A14" s="44" t="s">
        <v>1</v>
      </c>
      <c r="B14" s="46">
        <v>0.99</v>
      </c>
      <c r="C14" s="47">
        <f t="shared" si="3"/>
        <v>0.10839811671958832</v>
      </c>
      <c r="D14" s="46">
        <v>30</v>
      </c>
      <c r="E14" s="47">
        <f t="shared" si="4"/>
        <v>0.19736842105263158</v>
      </c>
      <c r="F14" s="58">
        <f t="shared" si="5"/>
        <v>3.3000000000000002E-2</v>
      </c>
    </row>
    <row r="15" spans="1:7" ht="15" x14ac:dyDescent="0.25">
      <c r="A15" s="44" t="s">
        <v>2</v>
      </c>
      <c r="B15" s="46">
        <v>0.35</v>
      </c>
      <c r="C15" s="47">
        <f t="shared" si="3"/>
        <v>3.8322566517026167E-2</v>
      </c>
      <c r="D15" s="46">
        <v>24</v>
      </c>
      <c r="E15" s="47">
        <f t="shared" si="4"/>
        <v>0.15789473684210525</v>
      </c>
      <c r="F15" s="58">
        <f t="shared" si="5"/>
        <v>1.4583333333333332E-2</v>
      </c>
    </row>
    <row r="16" spans="1:7" ht="15" x14ac:dyDescent="0.25">
      <c r="A16" s="44" t="s">
        <v>5</v>
      </c>
      <c r="B16" s="46">
        <f>SUM(B11:B15)</f>
        <v>9.1329999999999991</v>
      </c>
      <c r="C16" s="47">
        <f t="shared" si="3"/>
        <v>1</v>
      </c>
      <c r="D16" s="46">
        <f>SUM(D11:D15)</f>
        <v>152</v>
      </c>
      <c r="E16" s="47">
        <f t="shared" si="4"/>
        <v>1</v>
      </c>
      <c r="F16" s="58">
        <f t="shared" si="5"/>
        <v>6.0085526315789471E-2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sqref="A1:XFD1048576"/>
    </sheetView>
  </sheetViews>
  <sheetFormatPr baseColWidth="10" defaultRowHeight="14.25" x14ac:dyDescent="0.2"/>
  <cols>
    <col min="1" max="6" width="11.42578125" style="59"/>
    <col min="7" max="16384" width="11.42578125" style="45"/>
  </cols>
  <sheetData>
    <row r="1" spans="1:7" ht="15" x14ac:dyDescent="0.25">
      <c r="A1" s="44" t="s">
        <v>7</v>
      </c>
      <c r="B1" s="44" t="s">
        <v>3</v>
      </c>
      <c r="C1" s="44" t="s">
        <v>9</v>
      </c>
      <c r="D1" s="44" t="s">
        <v>4</v>
      </c>
      <c r="E1" s="44" t="s">
        <v>9</v>
      </c>
      <c r="F1" s="44" t="s">
        <v>6</v>
      </c>
      <c r="G1" s="57" t="s">
        <v>16</v>
      </c>
    </row>
    <row r="2" spans="1:7" ht="15" x14ac:dyDescent="0.25">
      <c r="A2" s="44" t="s">
        <v>10</v>
      </c>
      <c r="B2" s="46">
        <v>1.349</v>
      </c>
      <c r="C2" s="47">
        <f t="shared" ref="C2:C6" si="0">B2/$B$6</f>
        <v>0.12731219328048321</v>
      </c>
      <c r="D2" s="46">
        <v>13</v>
      </c>
      <c r="E2" s="47">
        <f t="shared" ref="E2:E6" si="1">D2/$D$6</f>
        <v>6.3106796116504854E-2</v>
      </c>
      <c r="F2" s="58">
        <f>B2/D2</f>
        <v>0.10376923076923077</v>
      </c>
    </row>
    <row r="3" spans="1:7" ht="15" x14ac:dyDescent="0.25">
      <c r="A3" s="44" t="s">
        <v>12</v>
      </c>
      <c r="B3" s="46">
        <v>7.5670000000000002</v>
      </c>
      <c r="C3" s="47">
        <f t="shared" si="0"/>
        <v>0.71413741034352585</v>
      </c>
      <c r="D3" s="46">
        <v>128</v>
      </c>
      <c r="E3" s="47">
        <f t="shared" si="1"/>
        <v>0.62135922330097082</v>
      </c>
      <c r="F3" s="58">
        <f t="shared" ref="F3:F6" si="2">B3/D3</f>
        <v>5.9117187500000001E-2</v>
      </c>
    </row>
    <row r="4" spans="1:7" ht="15" x14ac:dyDescent="0.25">
      <c r="A4" s="44" t="s">
        <v>11</v>
      </c>
      <c r="B4" s="46">
        <v>1.48</v>
      </c>
      <c r="C4" s="47">
        <f t="shared" si="0"/>
        <v>0.13967534918837296</v>
      </c>
      <c r="D4" s="46">
        <v>50</v>
      </c>
      <c r="E4" s="47">
        <f t="shared" si="1"/>
        <v>0.24271844660194175</v>
      </c>
      <c r="F4" s="58">
        <f t="shared" si="2"/>
        <v>2.9600000000000001E-2</v>
      </c>
    </row>
    <row r="5" spans="1:7" ht="15" x14ac:dyDescent="0.25">
      <c r="A5" s="44" t="s">
        <v>13</v>
      </c>
      <c r="B5" s="46">
        <v>0.2</v>
      </c>
      <c r="C5" s="47">
        <f>B5/$B$6</f>
        <v>1.8875047187617969E-2</v>
      </c>
      <c r="D5" s="46">
        <v>15</v>
      </c>
      <c r="E5" s="47">
        <f t="shared" si="1"/>
        <v>7.281553398058252E-2</v>
      </c>
      <c r="F5" s="58">
        <f t="shared" si="2"/>
        <v>1.3333333333333334E-2</v>
      </c>
    </row>
    <row r="6" spans="1:7" ht="15" x14ac:dyDescent="0.25">
      <c r="A6" s="44" t="s">
        <v>5</v>
      </c>
      <c r="B6" s="60">
        <f>SUM(B2:B5)</f>
        <v>10.596</v>
      </c>
      <c r="C6" s="61">
        <f t="shared" si="0"/>
        <v>1</v>
      </c>
      <c r="D6" s="60">
        <f>SUM(D2:D5)</f>
        <v>206</v>
      </c>
      <c r="E6" s="61">
        <f t="shared" si="1"/>
        <v>1</v>
      </c>
      <c r="F6" s="62">
        <f t="shared" si="2"/>
        <v>5.1436893203883498E-2</v>
      </c>
      <c r="G6" s="45">
        <v>88</v>
      </c>
    </row>
    <row r="9" spans="1:7" ht="15" x14ac:dyDescent="0.25">
      <c r="A9" s="44" t="s">
        <v>8</v>
      </c>
      <c r="B9" s="44" t="s">
        <v>3</v>
      </c>
      <c r="C9" s="44" t="s">
        <v>9</v>
      </c>
      <c r="D9" s="44" t="s">
        <v>4</v>
      </c>
      <c r="E9" s="44" t="s">
        <v>9</v>
      </c>
      <c r="F9" s="44" t="s">
        <v>6</v>
      </c>
    </row>
    <row r="10" spans="1:7" ht="15" x14ac:dyDescent="0.25">
      <c r="A10" s="44" t="s">
        <v>10</v>
      </c>
      <c r="B10" s="46">
        <v>2.54</v>
      </c>
      <c r="C10" s="47">
        <f t="shared" ref="C10:C14" si="3">B10/$B$14</f>
        <v>0.21744713637531032</v>
      </c>
      <c r="D10" s="46">
        <v>19</v>
      </c>
      <c r="E10" s="47">
        <f t="shared" ref="E10:E14" si="4">D10/$D$14</f>
        <v>9.5000000000000001E-2</v>
      </c>
      <c r="F10" s="58">
        <f>B10/D10</f>
        <v>0.13368421052631579</v>
      </c>
    </row>
    <row r="11" spans="1:7" ht="15" x14ac:dyDescent="0.25">
      <c r="A11" s="44" t="s">
        <v>12</v>
      </c>
      <c r="B11" s="46">
        <v>4.59</v>
      </c>
      <c r="C11" s="47">
        <f t="shared" si="3"/>
        <v>0.39294580943412377</v>
      </c>
      <c r="D11" s="46">
        <v>57</v>
      </c>
      <c r="E11" s="47">
        <f t="shared" si="4"/>
        <v>0.28499999999999998</v>
      </c>
      <c r="F11" s="58">
        <f t="shared" ref="F11:F14" si="5">B11/D11</f>
        <v>8.0526315789473682E-2</v>
      </c>
    </row>
    <row r="12" spans="1:7" ht="15" x14ac:dyDescent="0.25">
      <c r="A12" s="44" t="s">
        <v>11</v>
      </c>
      <c r="B12" s="46">
        <v>4.3710000000000004</v>
      </c>
      <c r="C12" s="47">
        <f t="shared" si="3"/>
        <v>0.37419741460491396</v>
      </c>
      <c r="D12" s="46">
        <v>110</v>
      </c>
      <c r="E12" s="47">
        <f t="shared" si="4"/>
        <v>0.55000000000000004</v>
      </c>
      <c r="F12" s="58">
        <f t="shared" si="5"/>
        <v>3.9736363636363639E-2</v>
      </c>
    </row>
    <row r="13" spans="1:7" ht="15" x14ac:dyDescent="0.25">
      <c r="A13" s="44" t="s">
        <v>13</v>
      </c>
      <c r="B13" s="46">
        <v>0.18</v>
      </c>
      <c r="C13" s="47">
        <f t="shared" si="3"/>
        <v>1.5409639585651912E-2</v>
      </c>
      <c r="D13" s="46">
        <v>14</v>
      </c>
      <c r="E13" s="47">
        <f t="shared" si="4"/>
        <v>7.0000000000000007E-2</v>
      </c>
      <c r="F13" s="58">
        <f t="shared" si="5"/>
        <v>1.2857142857142857E-2</v>
      </c>
    </row>
    <row r="14" spans="1:7" ht="15" x14ac:dyDescent="0.25">
      <c r="A14" s="44" t="s">
        <v>5</v>
      </c>
      <c r="B14" s="60">
        <f>SUM(B10:B13)</f>
        <v>11.681000000000001</v>
      </c>
      <c r="C14" s="61">
        <f t="shared" si="3"/>
        <v>1</v>
      </c>
      <c r="D14" s="60">
        <f>SUM(D10:D13)</f>
        <v>200</v>
      </c>
      <c r="E14" s="61">
        <f t="shared" si="4"/>
        <v>1</v>
      </c>
      <c r="F14" s="62">
        <f t="shared" si="5"/>
        <v>5.8405000000000006E-2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sqref="A1:XFD1048576"/>
    </sheetView>
  </sheetViews>
  <sheetFormatPr baseColWidth="10" defaultRowHeight="14.25" x14ac:dyDescent="0.2"/>
  <cols>
    <col min="1" max="6" width="11.42578125" style="45"/>
    <col min="7" max="7" width="11.42578125" style="59"/>
    <col min="8" max="16384" width="11.42578125" style="45"/>
  </cols>
  <sheetData>
    <row r="1" spans="1:8" ht="15" x14ac:dyDescent="0.25">
      <c r="A1" s="44" t="s">
        <v>7</v>
      </c>
      <c r="B1" s="44" t="s">
        <v>3</v>
      </c>
      <c r="C1" s="44" t="s">
        <v>9</v>
      </c>
      <c r="D1" s="44" t="s">
        <v>4</v>
      </c>
      <c r="E1" s="44" t="s">
        <v>9</v>
      </c>
      <c r="F1" s="44" t="s">
        <v>6</v>
      </c>
      <c r="G1" s="57" t="s">
        <v>21</v>
      </c>
      <c r="H1" s="57" t="s">
        <v>22</v>
      </c>
    </row>
    <row r="2" spans="1:8" ht="15" x14ac:dyDescent="0.25">
      <c r="A2" s="44" t="s">
        <v>14</v>
      </c>
      <c r="B2" s="46">
        <v>0.71699999999999997</v>
      </c>
      <c r="C2" s="47">
        <f t="shared" ref="C2:C8" si="0">B2/$B$8</f>
        <v>5.5175067333589838E-2</v>
      </c>
      <c r="D2" s="46">
        <v>4</v>
      </c>
      <c r="E2" s="47">
        <f t="shared" ref="E2:E8" si="1">D2/$D$8</f>
        <v>1.8604651162790697E-2</v>
      </c>
      <c r="F2" s="58">
        <f>B2/D2</f>
        <v>0.17924999999999999</v>
      </c>
    </row>
    <row r="3" spans="1:8" ht="15" x14ac:dyDescent="0.25">
      <c r="A3" s="44" t="s">
        <v>17</v>
      </c>
      <c r="B3" s="46">
        <v>3.82</v>
      </c>
      <c r="C3" s="47">
        <f t="shared" si="0"/>
        <v>0.2939592150827241</v>
      </c>
      <c r="D3" s="46">
        <v>34</v>
      </c>
      <c r="E3" s="47">
        <f t="shared" si="1"/>
        <v>0.15813953488372093</v>
      </c>
      <c r="F3" s="58">
        <f t="shared" ref="F3:F8" si="2">B3/D3</f>
        <v>0.11235294117647059</v>
      </c>
    </row>
    <row r="4" spans="1:8" ht="15" x14ac:dyDescent="0.25">
      <c r="A4" s="44" t="s">
        <v>18</v>
      </c>
      <c r="B4" s="46">
        <v>4.9000000000000004</v>
      </c>
      <c r="C4" s="47">
        <f t="shared" si="0"/>
        <v>0.37706810311658329</v>
      </c>
      <c r="D4" s="46">
        <v>61</v>
      </c>
      <c r="E4" s="47">
        <f t="shared" si="1"/>
        <v>0.28372093023255812</v>
      </c>
      <c r="F4" s="58">
        <f t="shared" si="2"/>
        <v>8.0327868852459017E-2</v>
      </c>
    </row>
    <row r="5" spans="1:8" ht="15" x14ac:dyDescent="0.25">
      <c r="A5" s="44" t="s">
        <v>19</v>
      </c>
      <c r="B5" s="46">
        <v>2.1970000000000001</v>
      </c>
      <c r="C5" s="47">
        <f>B5/$B$8</f>
        <v>0.16906502500961906</v>
      </c>
      <c r="D5" s="46">
        <v>48</v>
      </c>
      <c r="E5" s="47">
        <f t="shared" si="1"/>
        <v>0.22325581395348837</v>
      </c>
      <c r="F5" s="58">
        <f t="shared" si="2"/>
        <v>4.5770833333333337E-2</v>
      </c>
    </row>
    <row r="6" spans="1:8" ht="15" x14ac:dyDescent="0.25">
      <c r="A6" s="44" t="s">
        <v>20</v>
      </c>
      <c r="B6" s="46">
        <v>0.65</v>
      </c>
      <c r="C6" s="47">
        <f>B6/$B$8</f>
        <v>5.0019238168526353E-2</v>
      </c>
      <c r="D6" s="46">
        <v>21</v>
      </c>
      <c r="E6" s="47">
        <f t="shared" si="1"/>
        <v>9.7674418604651161E-2</v>
      </c>
      <c r="F6" s="58">
        <f t="shared" si="2"/>
        <v>3.0952380952380953E-2</v>
      </c>
    </row>
    <row r="7" spans="1:8" ht="15" x14ac:dyDescent="0.25">
      <c r="A7" s="44" t="s">
        <v>13</v>
      </c>
      <c r="B7" s="46">
        <v>0.71099999999999997</v>
      </c>
      <c r="C7" s="47">
        <f>B7/$B$8</f>
        <v>5.4713351288957282E-2</v>
      </c>
      <c r="D7" s="46">
        <v>47</v>
      </c>
      <c r="E7" s="47">
        <f t="shared" si="1"/>
        <v>0.21860465116279071</v>
      </c>
      <c r="F7" s="58">
        <f t="shared" si="2"/>
        <v>1.5127659574468084E-2</v>
      </c>
    </row>
    <row r="8" spans="1:8" ht="15" x14ac:dyDescent="0.25">
      <c r="A8" s="44" t="s">
        <v>5</v>
      </c>
      <c r="B8" s="60">
        <f>SUM(B2:B7)</f>
        <v>12.995000000000001</v>
      </c>
      <c r="C8" s="61">
        <f t="shared" si="0"/>
        <v>1</v>
      </c>
      <c r="D8" s="60">
        <f>SUM(D2:D7)</f>
        <v>215</v>
      </c>
      <c r="E8" s="61">
        <f t="shared" si="1"/>
        <v>1</v>
      </c>
      <c r="F8" s="62">
        <f t="shared" si="2"/>
        <v>6.0441860465116286E-2</v>
      </c>
      <c r="G8" s="60">
        <v>83</v>
      </c>
      <c r="H8" s="63">
        <f>G8/3.33</f>
        <v>24.924924924924923</v>
      </c>
    </row>
    <row r="9" spans="1:8" x14ac:dyDescent="0.2">
      <c r="A9" s="59"/>
      <c r="B9" s="59"/>
      <c r="C9" s="59"/>
      <c r="D9" s="59"/>
      <c r="E9" s="59"/>
      <c r="F9" s="59"/>
    </row>
    <row r="10" spans="1:8" x14ac:dyDescent="0.2">
      <c r="A10" s="59"/>
      <c r="B10" s="59"/>
      <c r="C10" s="59"/>
      <c r="D10" s="59"/>
      <c r="E10" s="59"/>
      <c r="F10" s="59"/>
    </row>
    <row r="11" spans="1:8" ht="15" x14ac:dyDescent="0.25">
      <c r="A11" s="44" t="s">
        <v>8</v>
      </c>
      <c r="B11" s="44" t="s">
        <v>3</v>
      </c>
      <c r="C11" s="44" t="s">
        <v>9</v>
      </c>
      <c r="D11" s="44" t="s">
        <v>4</v>
      </c>
      <c r="E11" s="44" t="s">
        <v>9</v>
      </c>
      <c r="F11" s="44" t="s">
        <v>6</v>
      </c>
    </row>
    <row r="12" spans="1:8" ht="15" x14ac:dyDescent="0.25">
      <c r="A12" s="44" t="s">
        <v>14</v>
      </c>
      <c r="B12" s="46">
        <v>1.48</v>
      </c>
      <c r="C12" s="47">
        <f t="shared" ref="C12:C18" si="3">B12/$B$18</f>
        <v>0.11203633610900834</v>
      </c>
      <c r="D12" s="46">
        <v>6</v>
      </c>
      <c r="E12" s="47">
        <f t="shared" ref="E12:E18" si="4">D12/$D$18</f>
        <v>3.0456852791878174E-2</v>
      </c>
      <c r="F12" s="58">
        <f>B12/D12</f>
        <v>0.24666666666666667</v>
      </c>
    </row>
    <row r="13" spans="1:8" ht="15" x14ac:dyDescent="0.25">
      <c r="A13" s="44" t="s">
        <v>17</v>
      </c>
      <c r="B13" s="46">
        <v>4.8</v>
      </c>
      <c r="C13" s="47">
        <f t="shared" si="3"/>
        <v>0.36336109008327033</v>
      </c>
      <c r="D13" s="46">
        <v>46</v>
      </c>
      <c r="E13" s="47">
        <f t="shared" si="4"/>
        <v>0.233502538071066</v>
      </c>
      <c r="F13" s="58">
        <f>B13/D13</f>
        <v>0.10434782608695652</v>
      </c>
    </row>
    <row r="14" spans="1:8" ht="15" x14ac:dyDescent="0.25">
      <c r="A14" s="44" t="s">
        <v>18</v>
      </c>
      <c r="B14" s="46">
        <v>3</v>
      </c>
      <c r="C14" s="47">
        <f t="shared" si="3"/>
        <v>0.22710068130204394</v>
      </c>
      <c r="D14" s="46">
        <v>40</v>
      </c>
      <c r="E14" s="47">
        <f t="shared" si="4"/>
        <v>0.20304568527918782</v>
      </c>
      <c r="F14" s="58">
        <f t="shared" ref="F14:F18" si="5">B14/D14</f>
        <v>7.4999999999999997E-2</v>
      </c>
    </row>
    <row r="15" spans="1:8" ht="15" x14ac:dyDescent="0.25">
      <c r="A15" s="44" t="s">
        <v>19</v>
      </c>
      <c r="B15" s="46">
        <v>2.8</v>
      </c>
      <c r="C15" s="47">
        <f t="shared" si="3"/>
        <v>0.21196063588190767</v>
      </c>
      <c r="D15" s="46">
        <v>50</v>
      </c>
      <c r="E15" s="47">
        <f t="shared" si="4"/>
        <v>0.25380710659898476</v>
      </c>
      <c r="F15" s="58">
        <f t="shared" si="5"/>
        <v>5.5999999999999994E-2</v>
      </c>
    </row>
    <row r="16" spans="1:8" ht="15" x14ac:dyDescent="0.25">
      <c r="A16" s="44" t="s">
        <v>20</v>
      </c>
      <c r="B16" s="46">
        <v>0.95</v>
      </c>
      <c r="C16" s="47">
        <f t="shared" si="3"/>
        <v>7.1915215745647243E-2</v>
      </c>
      <c r="D16" s="46">
        <v>26</v>
      </c>
      <c r="E16" s="47">
        <f t="shared" si="4"/>
        <v>0.13197969543147209</v>
      </c>
      <c r="F16" s="58">
        <f t="shared" si="5"/>
        <v>3.6538461538461534E-2</v>
      </c>
    </row>
    <row r="17" spans="1:8" ht="15" x14ac:dyDescent="0.25">
      <c r="A17" s="44" t="s">
        <v>13</v>
      </c>
      <c r="B17" s="64">
        <v>0.18</v>
      </c>
      <c r="C17" s="65">
        <f t="shared" si="3"/>
        <v>1.3626040878122636E-2</v>
      </c>
      <c r="D17" s="64">
        <v>29</v>
      </c>
      <c r="E17" s="65">
        <f t="shared" si="4"/>
        <v>0.14720812182741116</v>
      </c>
      <c r="F17" s="66">
        <f t="shared" si="5"/>
        <v>6.2068965517241377E-3</v>
      </c>
    </row>
    <row r="18" spans="1:8" ht="15" x14ac:dyDescent="0.25">
      <c r="A18" s="44" t="s">
        <v>5</v>
      </c>
      <c r="B18" s="60">
        <f>SUM(B12:B17)</f>
        <v>13.209999999999997</v>
      </c>
      <c r="C18" s="61">
        <f t="shared" si="3"/>
        <v>1</v>
      </c>
      <c r="D18" s="60">
        <f>SUM(D12:D17)</f>
        <v>197</v>
      </c>
      <c r="E18" s="61">
        <f t="shared" si="4"/>
        <v>1</v>
      </c>
      <c r="F18" s="62">
        <f t="shared" si="5"/>
        <v>6.7055837563451764E-2</v>
      </c>
      <c r="G18" s="60"/>
      <c r="H18" s="6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workbookViewId="0"/>
  </sheetViews>
  <sheetFormatPr baseColWidth="10" defaultRowHeight="15.75" x14ac:dyDescent="0.25"/>
  <cols>
    <col min="1" max="1" width="7.5703125" style="2" bestFit="1" customWidth="1"/>
    <col min="2" max="2" width="8.28515625" style="1" bestFit="1" customWidth="1"/>
    <col min="3" max="3" width="9.28515625" style="1" bestFit="1" customWidth="1"/>
    <col min="4" max="4" width="8.28515625" style="1" bestFit="1" customWidth="1"/>
    <col min="5" max="5" width="11.42578125" style="1"/>
    <col min="6" max="6" width="9.28515625" style="1" customWidth="1"/>
    <col min="7" max="7" width="9.85546875" style="1" customWidth="1"/>
    <col min="8" max="8" width="10" style="1" customWidth="1"/>
    <col min="9" max="9" width="9.28515625" style="1" bestFit="1" customWidth="1"/>
    <col min="10" max="10" width="9.140625" style="1" customWidth="1"/>
    <col min="11" max="11" width="9.85546875" style="1" customWidth="1"/>
    <col min="12" max="12" width="10.28515625" style="1" bestFit="1" customWidth="1"/>
    <col min="13" max="13" width="9" style="1" bestFit="1" customWidth="1"/>
    <col min="14" max="14" width="9.5703125" style="1" bestFit="1" customWidth="1"/>
    <col min="15" max="15" width="9.28515625" style="1" bestFit="1" customWidth="1"/>
    <col min="16" max="16384" width="11.42578125" style="1"/>
  </cols>
  <sheetData>
    <row r="1" spans="1:15" s="2" customFormat="1" x14ac:dyDescent="0.25">
      <c r="A1" s="9" t="s">
        <v>33</v>
      </c>
      <c r="B1" s="53" t="s">
        <v>28</v>
      </c>
      <c r="C1" s="54"/>
      <c r="D1" s="53" t="s">
        <v>29</v>
      </c>
      <c r="E1" s="54"/>
      <c r="F1" s="53" t="s">
        <v>30</v>
      </c>
      <c r="G1" s="54"/>
      <c r="H1" s="53" t="s">
        <v>32</v>
      </c>
      <c r="I1" s="54"/>
      <c r="J1" s="55" t="s">
        <v>35</v>
      </c>
      <c r="K1" s="56"/>
      <c r="L1" s="53" t="s">
        <v>37</v>
      </c>
      <c r="M1" s="54"/>
      <c r="N1" s="16" t="s">
        <v>5</v>
      </c>
      <c r="O1" s="17" t="s">
        <v>9</v>
      </c>
    </row>
    <row r="2" spans="1:15" s="2" customFormat="1" ht="16.5" thickBot="1" x14ac:dyDescent="0.3">
      <c r="A2" s="11" t="s">
        <v>34</v>
      </c>
      <c r="B2" s="18"/>
      <c r="C2" s="19"/>
      <c r="D2" s="18"/>
      <c r="E2" s="19"/>
      <c r="F2" s="18">
        <v>0.49</v>
      </c>
      <c r="G2" s="19" t="s">
        <v>31</v>
      </c>
      <c r="H2" s="18">
        <v>0.47</v>
      </c>
      <c r="I2" s="19" t="s">
        <v>31</v>
      </c>
      <c r="J2" s="18">
        <v>0.56999999999999995</v>
      </c>
      <c r="K2" s="20"/>
      <c r="L2" s="40">
        <v>0.5</v>
      </c>
      <c r="M2" s="19"/>
      <c r="N2" s="18"/>
      <c r="O2" s="19"/>
    </row>
    <row r="3" spans="1:15" x14ac:dyDescent="0.25">
      <c r="A3" s="12" t="s">
        <v>23</v>
      </c>
      <c r="B3" s="13">
        <v>523</v>
      </c>
      <c r="C3" s="14">
        <f>B3/$B$6</f>
        <v>0.85793963254593175</v>
      </c>
      <c r="D3" s="13">
        <v>471</v>
      </c>
      <c r="E3" s="14">
        <f>D3/$D$6</f>
        <v>0.88136227544910184</v>
      </c>
      <c r="F3" s="13">
        <v>483</v>
      </c>
      <c r="G3" s="14">
        <f>F3/$F$6</f>
        <v>0.8579040852575488</v>
      </c>
      <c r="H3" s="13">
        <v>472</v>
      </c>
      <c r="I3" s="14">
        <f>H3/$H$6</f>
        <v>0.86924493554327809</v>
      </c>
      <c r="J3" s="13">
        <v>570</v>
      </c>
      <c r="K3" s="37">
        <f>J3/$J$6</f>
        <v>0.87557603686635943</v>
      </c>
      <c r="L3" s="13">
        <v>565</v>
      </c>
      <c r="M3" s="14">
        <f>L3/$L$6</f>
        <v>0.8800623052959502</v>
      </c>
      <c r="N3" s="15">
        <f>B3+D3+F3+H3+J3+L3</f>
        <v>3084</v>
      </c>
      <c r="O3" s="14">
        <f>N3/$N$6</f>
        <v>0.87044877222692629</v>
      </c>
    </row>
    <row r="4" spans="1:15" x14ac:dyDescent="0.25">
      <c r="A4" s="10" t="s">
        <v>24</v>
      </c>
      <c r="B4" s="4">
        <v>78</v>
      </c>
      <c r="C4" s="5">
        <f t="shared" ref="C4:C6" si="0">B4/$B$6</f>
        <v>0.12795275590551181</v>
      </c>
      <c r="D4" s="4">
        <v>56</v>
      </c>
      <c r="E4" s="5">
        <f t="shared" ref="E4:E6" si="1">D4/$D$6</f>
        <v>0.10479041916167665</v>
      </c>
      <c r="F4" s="4">
        <v>73</v>
      </c>
      <c r="G4" s="14">
        <f t="shared" ref="G4:G6" si="2">F4/$F$6</f>
        <v>0.12966252220248667</v>
      </c>
      <c r="H4" s="4">
        <v>66</v>
      </c>
      <c r="I4" s="14">
        <f t="shared" ref="I4:I6" si="3">H4/$H$6</f>
        <v>0.12154696132596685</v>
      </c>
      <c r="J4" s="4">
        <v>77</v>
      </c>
      <c r="K4" s="37">
        <f t="shared" ref="K4:K6" si="4">J4/$J$6</f>
        <v>0.11827956989247312</v>
      </c>
      <c r="L4" s="4">
        <v>70</v>
      </c>
      <c r="M4" s="14">
        <f t="shared" ref="M4:M6" si="5">L4/$L$6</f>
        <v>0.10903426791277258</v>
      </c>
      <c r="N4" s="6">
        <f t="shared" ref="N4:N9" si="6">B4+D4+F4+H4+J4+L4</f>
        <v>420</v>
      </c>
      <c r="O4" s="5">
        <f t="shared" ref="O4:O6" si="7">N4/$N$6</f>
        <v>0.11854360711261643</v>
      </c>
    </row>
    <row r="5" spans="1:15" ht="16.5" thickBot="1" x14ac:dyDescent="0.3">
      <c r="A5" s="21" t="s">
        <v>25</v>
      </c>
      <c r="B5" s="22">
        <v>8.6</v>
      </c>
      <c r="C5" s="23">
        <f t="shared" si="0"/>
        <v>1.4107611548556429E-2</v>
      </c>
      <c r="D5" s="22">
        <v>7.4</v>
      </c>
      <c r="E5" s="23">
        <f t="shared" si="1"/>
        <v>1.3847305389221558E-2</v>
      </c>
      <c r="F5" s="22">
        <v>7</v>
      </c>
      <c r="G5" s="30">
        <f t="shared" si="2"/>
        <v>1.2433392539964476E-2</v>
      </c>
      <c r="H5" s="22">
        <v>5</v>
      </c>
      <c r="I5" s="30">
        <f t="shared" si="3"/>
        <v>9.2081031307550652E-3</v>
      </c>
      <c r="J5" s="22">
        <v>4</v>
      </c>
      <c r="K5" s="38">
        <f t="shared" si="4"/>
        <v>6.1443932411674347E-3</v>
      </c>
      <c r="L5" s="22">
        <v>7</v>
      </c>
      <c r="M5" s="30">
        <f t="shared" si="5"/>
        <v>1.0903426791277258E-2</v>
      </c>
      <c r="N5" s="24">
        <f t="shared" si="6"/>
        <v>39</v>
      </c>
      <c r="O5" s="23">
        <f t="shared" si="7"/>
        <v>1.100762066045724E-2</v>
      </c>
    </row>
    <row r="6" spans="1:15" s="2" customFormat="1" ht="16.5" thickBot="1" x14ac:dyDescent="0.3">
      <c r="A6" s="26"/>
      <c r="B6" s="27">
        <f>SUM(B3:B5)</f>
        <v>609.6</v>
      </c>
      <c r="C6" s="28">
        <f t="shared" si="0"/>
        <v>1</v>
      </c>
      <c r="D6" s="27">
        <f>SUM(D3:D5)</f>
        <v>534.4</v>
      </c>
      <c r="E6" s="28">
        <f t="shared" si="1"/>
        <v>1</v>
      </c>
      <c r="F6" s="27">
        <f>SUM(F3:F5)</f>
        <v>563</v>
      </c>
      <c r="G6" s="28">
        <f t="shared" si="2"/>
        <v>1</v>
      </c>
      <c r="H6" s="27">
        <f>SUM(H3:H5)</f>
        <v>543</v>
      </c>
      <c r="I6" s="28">
        <f t="shared" si="3"/>
        <v>1</v>
      </c>
      <c r="J6" s="27">
        <f>SUM(J3:J5)</f>
        <v>651</v>
      </c>
      <c r="K6" s="39">
        <f t="shared" si="4"/>
        <v>1</v>
      </c>
      <c r="L6" s="27">
        <f>SUM(L3:L5)</f>
        <v>642</v>
      </c>
      <c r="M6" s="39">
        <f t="shared" si="5"/>
        <v>1</v>
      </c>
      <c r="N6" s="29">
        <f t="shared" si="6"/>
        <v>3543</v>
      </c>
      <c r="O6" s="28">
        <f t="shared" si="7"/>
        <v>1</v>
      </c>
    </row>
    <row r="7" spans="1:15" s="3" customFormat="1" x14ac:dyDescent="0.25">
      <c r="A7" s="25"/>
      <c r="B7" s="15">
        <f>B6*49</f>
        <v>29870.400000000001</v>
      </c>
      <c r="C7" s="14">
        <f>B7/$B$9</f>
        <v>0.871365227537923</v>
      </c>
      <c r="D7" s="15">
        <f t="shared" ref="D7" si="8">D6*49</f>
        <v>26185.599999999999</v>
      </c>
      <c r="E7" s="14">
        <f>D7/$D$9</f>
        <v>0.80720098643649807</v>
      </c>
      <c r="F7" s="15">
        <f t="shared" ref="F7" si="9">F6*49</f>
        <v>27587</v>
      </c>
      <c r="G7" s="14">
        <f>F7/$F$9</f>
        <v>0.86101747815230967</v>
      </c>
      <c r="H7" s="15">
        <f t="shared" ref="H7" si="10">H6*49</f>
        <v>26607</v>
      </c>
      <c r="I7" s="14">
        <f>H7/$H$9</f>
        <v>0.83094940662086192</v>
      </c>
      <c r="J7" s="15">
        <f>J6*49</f>
        <v>31899</v>
      </c>
      <c r="K7" s="14">
        <f>J7/$J$9</f>
        <v>0.89352941176470591</v>
      </c>
      <c r="L7" s="15">
        <f>L6*49</f>
        <v>31458</v>
      </c>
      <c r="M7" s="14">
        <f>L7/$L$9</f>
        <v>0.89931389365351633</v>
      </c>
      <c r="N7" s="15">
        <f t="shared" si="6"/>
        <v>173607</v>
      </c>
      <c r="O7" s="14">
        <f>N7/$N$9</f>
        <v>0.86174426685198058</v>
      </c>
    </row>
    <row r="8" spans="1:15" x14ac:dyDescent="0.25">
      <c r="A8" s="10" t="s">
        <v>26</v>
      </c>
      <c r="B8" s="6">
        <f>B9-B7</f>
        <v>4409.5999999999985</v>
      </c>
      <c r="C8" s="5">
        <f t="shared" ref="C8:C9" si="11">B8/$B$9</f>
        <v>0.12863477246207697</v>
      </c>
      <c r="D8" s="6">
        <f t="shared" ref="D8" si="12">D9-D7</f>
        <v>6254.4000000000015</v>
      </c>
      <c r="E8" s="5">
        <f t="shared" ref="E8:E9" si="13">D8/$D$9</f>
        <v>0.1927990135635019</v>
      </c>
      <c r="F8" s="6">
        <f t="shared" ref="F8" si="14">F9-F7</f>
        <v>4453</v>
      </c>
      <c r="G8" s="14">
        <f t="shared" ref="G8:G9" si="15">F8/$F$9</f>
        <v>0.13898252184769039</v>
      </c>
      <c r="H8" s="6">
        <f t="shared" ref="H8" si="16">H9-H7</f>
        <v>5413</v>
      </c>
      <c r="I8" s="14">
        <f t="shared" ref="I8:I9" si="17">H8/$H$9</f>
        <v>0.16905059337913803</v>
      </c>
      <c r="J8" s="6">
        <f>J9-J7</f>
        <v>3801</v>
      </c>
      <c r="K8" s="14">
        <f t="shared" ref="K8:K9" si="18">J8/$J$9</f>
        <v>0.10647058823529412</v>
      </c>
      <c r="L8" s="6">
        <f>L9-L7</f>
        <v>3522</v>
      </c>
      <c r="M8" s="14">
        <f t="shared" ref="M8:M9" si="19">L8/$L$9</f>
        <v>0.1006861063464837</v>
      </c>
      <c r="N8" s="6">
        <f t="shared" si="6"/>
        <v>27853</v>
      </c>
      <c r="O8" s="5">
        <f t="shared" ref="O8:O9" si="20">N8/$N$9</f>
        <v>0.13825573314801945</v>
      </c>
    </row>
    <row r="9" spans="1:15" ht="16.5" thickBot="1" x14ac:dyDescent="0.3">
      <c r="A9" s="11" t="s">
        <v>27</v>
      </c>
      <c r="B9" s="7">
        <v>34280</v>
      </c>
      <c r="C9" s="8">
        <f t="shared" si="11"/>
        <v>1</v>
      </c>
      <c r="D9" s="7">
        <v>32440</v>
      </c>
      <c r="E9" s="8">
        <f t="shared" si="13"/>
        <v>1</v>
      </c>
      <c r="F9" s="7">
        <v>32040</v>
      </c>
      <c r="G9" s="31">
        <f t="shared" si="15"/>
        <v>1</v>
      </c>
      <c r="H9" s="7">
        <v>32020</v>
      </c>
      <c r="I9" s="31">
        <f t="shared" si="17"/>
        <v>1</v>
      </c>
      <c r="J9" s="7">
        <v>35700</v>
      </c>
      <c r="K9" s="31">
        <f t="shared" si="18"/>
        <v>1</v>
      </c>
      <c r="L9" s="7">
        <v>34980</v>
      </c>
      <c r="M9" s="31">
        <f t="shared" si="19"/>
        <v>1</v>
      </c>
      <c r="N9" s="7">
        <f t="shared" si="6"/>
        <v>201460</v>
      </c>
      <c r="O9" s="8">
        <f t="shared" si="20"/>
        <v>1</v>
      </c>
    </row>
    <row r="10" spans="1:15" x14ac:dyDescent="0.25">
      <c r="F10" s="1" t="s">
        <v>36</v>
      </c>
      <c r="H10" s="1" t="s">
        <v>36</v>
      </c>
      <c r="J10" s="1" t="s">
        <v>36</v>
      </c>
      <c r="L10" s="1" t="s">
        <v>36</v>
      </c>
    </row>
    <row r="11" spans="1:15" x14ac:dyDescent="0.25">
      <c r="E11" s="32" t="s">
        <v>23</v>
      </c>
      <c r="F11" s="33">
        <f>F3/$F$2</f>
        <v>985.71428571428578</v>
      </c>
      <c r="G11" s="33"/>
      <c r="H11" s="33">
        <f>H3/$H$2</f>
        <v>1004.2553191489362</v>
      </c>
      <c r="I11" s="33"/>
      <c r="J11" s="33">
        <f>J3/$J$2</f>
        <v>1000.0000000000001</v>
      </c>
      <c r="K11" s="33"/>
      <c r="L11" s="33">
        <f t="shared" ref="L11" si="21">L3/$J$2</f>
        <v>991.22807017543869</v>
      </c>
      <c r="M11" s="34"/>
      <c r="N11" s="34"/>
      <c r="O11" s="34"/>
    </row>
    <row r="12" spans="1:15" x14ac:dyDescent="0.25">
      <c r="E12" s="32" t="s">
        <v>24</v>
      </c>
      <c r="F12" s="33">
        <f t="shared" ref="F12:F14" si="22">F4/$F$2</f>
        <v>148.9795918367347</v>
      </c>
      <c r="G12" s="33"/>
      <c r="H12" s="33">
        <f t="shared" ref="H12:H14" si="23">H4/$H$2</f>
        <v>140.42553191489361</v>
      </c>
      <c r="I12" s="33"/>
      <c r="J12" s="33">
        <f t="shared" ref="J12:L14" si="24">J4/$J$2</f>
        <v>135.08771929824562</v>
      </c>
      <c r="K12" s="33"/>
      <c r="L12" s="33">
        <f t="shared" si="24"/>
        <v>122.80701754385966</v>
      </c>
      <c r="M12" s="34"/>
      <c r="N12" s="34"/>
      <c r="O12" s="34"/>
    </row>
    <row r="13" spans="1:15" x14ac:dyDescent="0.25">
      <c r="E13" s="32" t="s">
        <v>25</v>
      </c>
      <c r="F13" s="33">
        <f t="shared" si="22"/>
        <v>14.285714285714286</v>
      </c>
      <c r="G13" s="33"/>
      <c r="H13" s="33">
        <f t="shared" si="23"/>
        <v>10.638297872340425</v>
      </c>
      <c r="I13" s="33"/>
      <c r="J13" s="33">
        <f t="shared" si="24"/>
        <v>7.0175438596491233</v>
      </c>
      <c r="K13" s="33"/>
      <c r="L13" s="33">
        <f t="shared" si="24"/>
        <v>12.280701754385966</v>
      </c>
      <c r="M13" s="34"/>
      <c r="N13" s="34"/>
      <c r="O13" s="34"/>
    </row>
    <row r="14" spans="1:15" s="2" customFormat="1" x14ac:dyDescent="0.25">
      <c r="E14" s="32" t="s">
        <v>5</v>
      </c>
      <c r="F14" s="35">
        <f t="shared" si="22"/>
        <v>1148.9795918367347</v>
      </c>
      <c r="G14" s="35"/>
      <c r="H14" s="33">
        <f t="shared" si="23"/>
        <v>1155.3191489361702</v>
      </c>
      <c r="I14" s="35"/>
      <c r="J14" s="33">
        <f t="shared" si="24"/>
        <v>1142.1052631578948</v>
      </c>
      <c r="K14" s="33"/>
      <c r="L14" s="33">
        <f t="shared" si="24"/>
        <v>1126.3157894736844</v>
      </c>
      <c r="M14" s="36"/>
      <c r="N14" s="36"/>
      <c r="O14" s="36"/>
    </row>
    <row r="15" spans="1:15" x14ac:dyDescent="0.25">
      <c r="E15" s="1" t="s">
        <v>38</v>
      </c>
      <c r="F15" s="1">
        <f>F2+H2</f>
        <v>0.96</v>
      </c>
      <c r="J15" s="1">
        <f>J2+L2</f>
        <v>1.0699999999999998</v>
      </c>
    </row>
    <row r="16" spans="1:15" x14ac:dyDescent="0.25">
      <c r="E16" s="32" t="s">
        <v>23</v>
      </c>
      <c r="F16" s="33">
        <f>F3+H3</f>
        <v>955</v>
      </c>
      <c r="G16" s="33">
        <f>F16/$F$15</f>
        <v>994.79166666666674</v>
      </c>
      <c r="H16" s="42">
        <f>G16/$G$19</f>
        <v>0.86347197106690776</v>
      </c>
      <c r="I16" s="33"/>
      <c r="J16" s="33">
        <f t="shared" ref="J16:J18" si="25">J3+L3</f>
        <v>1135</v>
      </c>
      <c r="K16" s="33">
        <f>J16/$J$15</f>
        <v>1060.747663551402</v>
      </c>
      <c r="L16" s="42">
        <f>K16/$K$19</f>
        <v>0.87780355761794271</v>
      </c>
    </row>
    <row r="17" spans="5:12" x14ac:dyDescent="0.25">
      <c r="E17" s="32" t="s">
        <v>24</v>
      </c>
      <c r="F17" s="33">
        <f t="shared" ref="F17:F18" si="26">F4+H4</f>
        <v>139</v>
      </c>
      <c r="G17" s="33">
        <f>F17/$F$15</f>
        <v>144.79166666666669</v>
      </c>
      <c r="H17" s="42">
        <f t="shared" ref="H17:H19" si="27">G17/$G$19</f>
        <v>0.12567811934900541</v>
      </c>
      <c r="I17" s="33"/>
      <c r="J17" s="33">
        <f t="shared" si="25"/>
        <v>147</v>
      </c>
      <c r="K17" s="33">
        <f>J17/$J$15</f>
        <v>137.38317757009347</v>
      </c>
      <c r="L17" s="42">
        <f t="shared" ref="L17:L19" si="28">K17/$K$19</f>
        <v>0.1136890951276102</v>
      </c>
    </row>
    <row r="18" spans="5:12" x14ac:dyDescent="0.25">
      <c r="E18" s="32" t="s">
        <v>25</v>
      </c>
      <c r="F18" s="33">
        <f t="shared" si="26"/>
        <v>12</v>
      </c>
      <c r="G18" s="33">
        <f>F18/$F$15</f>
        <v>12.5</v>
      </c>
      <c r="H18" s="42">
        <f t="shared" si="27"/>
        <v>1.0849909584086798E-2</v>
      </c>
      <c r="I18" s="33"/>
      <c r="J18" s="33">
        <f t="shared" si="25"/>
        <v>11</v>
      </c>
      <c r="K18" s="33">
        <f>J18/$J$15</f>
        <v>10.280373831775702</v>
      </c>
      <c r="L18" s="42">
        <f t="shared" si="28"/>
        <v>8.5073472544470227E-3</v>
      </c>
    </row>
    <row r="19" spans="5:12" x14ac:dyDescent="0.25">
      <c r="E19" s="32" t="s">
        <v>5</v>
      </c>
      <c r="F19" s="33">
        <f>F6+H6</f>
        <v>1106</v>
      </c>
      <c r="G19" s="33">
        <f>F19/$F$15</f>
        <v>1152.0833333333335</v>
      </c>
      <c r="H19" s="42">
        <f t="shared" si="27"/>
        <v>1</v>
      </c>
      <c r="I19" s="33"/>
      <c r="J19" s="33">
        <f t="shared" ref="J19" si="29">J6+L6</f>
        <v>1293</v>
      </c>
      <c r="K19" s="33">
        <f>J19/$J$15</f>
        <v>1208.4112149532712</v>
      </c>
      <c r="L19" s="42">
        <f t="shared" si="28"/>
        <v>1</v>
      </c>
    </row>
    <row r="20" spans="5:12" x14ac:dyDescent="0.25">
      <c r="H20" s="1" t="s">
        <v>39</v>
      </c>
      <c r="I20" s="41">
        <f>F2+H2+J2+L2</f>
        <v>2.0299999999999998</v>
      </c>
    </row>
    <row r="21" spans="5:12" x14ac:dyDescent="0.25">
      <c r="H21" s="32" t="s">
        <v>23</v>
      </c>
      <c r="I21" s="33">
        <f>F16+K16</f>
        <v>2015.747663551402</v>
      </c>
      <c r="J21" s="33">
        <f>I21/$I$20</f>
        <v>992.97914460660206</v>
      </c>
      <c r="K21" s="43">
        <f>J21/$J$24</f>
        <v>0.87095484610849527</v>
      </c>
    </row>
    <row r="22" spans="5:12" x14ac:dyDescent="0.25">
      <c r="H22" s="32" t="s">
        <v>24</v>
      </c>
      <c r="I22" s="33">
        <f t="shared" ref="I22:I24" si="30">F17+K17</f>
        <v>276.38317757009349</v>
      </c>
      <c r="J22" s="33">
        <f t="shared" ref="J22:J24" si="31">I22/$I$20</f>
        <v>136.14934855669631</v>
      </c>
      <c r="K22" s="43">
        <f t="shared" ref="K22:K24" si="32">J22/$J$24</f>
        <v>0.11941835391411795</v>
      </c>
    </row>
    <row r="23" spans="5:12" x14ac:dyDescent="0.25">
      <c r="H23" s="32" t="s">
        <v>25</v>
      </c>
      <c r="I23" s="33">
        <f t="shared" si="30"/>
        <v>22.280373831775702</v>
      </c>
      <c r="J23" s="33">
        <f t="shared" si="31"/>
        <v>10.975553611712169</v>
      </c>
      <c r="K23" s="43">
        <f t="shared" si="32"/>
        <v>9.6267999773867099E-3</v>
      </c>
    </row>
    <row r="24" spans="5:12" x14ac:dyDescent="0.25">
      <c r="H24" s="32" t="s">
        <v>5</v>
      </c>
      <c r="I24" s="33">
        <f t="shared" si="30"/>
        <v>2314.4112149532712</v>
      </c>
      <c r="J24" s="33">
        <f t="shared" si="31"/>
        <v>1140.1040467750106</v>
      </c>
      <c r="K24" s="43">
        <f t="shared" si="32"/>
        <v>1</v>
      </c>
    </row>
  </sheetData>
  <mergeCells count="6">
    <mergeCell ref="L1:M1"/>
    <mergeCell ref="B1:C1"/>
    <mergeCell ref="D1:E1"/>
    <mergeCell ref="F1:G1"/>
    <mergeCell ref="H1:I1"/>
    <mergeCell ref="J1:K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0" verticalDpi="0" r:id="rId1"/>
  <ignoredErrors>
    <ignoredError sqref="E7:E9 G6:G8" formula="1"/>
    <ignoredError sqref="L6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W20"/>
  <sheetViews>
    <sheetView tabSelected="1" workbookViewId="0">
      <selection activeCell="F20" sqref="F20"/>
    </sheetView>
  </sheetViews>
  <sheetFormatPr baseColWidth="10" defaultRowHeight="15" x14ac:dyDescent="0.2"/>
  <cols>
    <col min="1" max="3" width="7.7109375" style="1" customWidth="1"/>
    <col min="4" max="4" width="9.28515625" style="1" bestFit="1" customWidth="1"/>
    <col min="5" max="5" width="8.28515625" style="1" bestFit="1" customWidth="1"/>
    <col min="6" max="7" width="7.7109375" style="1" customWidth="1"/>
    <col min="8" max="8" width="2.7109375" style="1" customWidth="1"/>
    <col min="9" max="11" width="7.7109375" style="1" customWidth="1"/>
    <col min="12" max="12" width="9.28515625" style="1" bestFit="1" customWidth="1"/>
    <col min="13" max="15" width="7.7109375" style="1" customWidth="1"/>
    <col min="16" max="16" width="3.140625" style="1" customWidth="1"/>
    <col min="17" max="19" width="7.7109375" style="1" customWidth="1"/>
    <col min="20" max="20" width="9.28515625" style="1" bestFit="1" customWidth="1"/>
    <col min="21" max="26" width="7.7109375" style="1" customWidth="1"/>
    <col min="27" max="16384" width="11.42578125" style="1"/>
  </cols>
  <sheetData>
    <row r="3" spans="1:23" x14ac:dyDescent="0.2">
      <c r="B3" s="68" t="s">
        <v>40</v>
      </c>
    </row>
    <row r="5" spans="1:23" ht="15.75" x14ac:dyDescent="0.25">
      <c r="A5" s="69" t="s">
        <v>44</v>
      </c>
      <c r="B5" s="69" t="s">
        <v>42</v>
      </c>
      <c r="C5" s="69" t="s">
        <v>47</v>
      </c>
      <c r="D5" s="70" t="s">
        <v>5</v>
      </c>
      <c r="E5" s="70" t="s">
        <v>23</v>
      </c>
      <c r="F5" s="70" t="s">
        <v>46</v>
      </c>
      <c r="G5" s="70" t="s">
        <v>41</v>
      </c>
      <c r="I5" s="69" t="s">
        <v>43</v>
      </c>
      <c r="J5" s="69" t="s">
        <v>42</v>
      </c>
      <c r="K5" s="69" t="s">
        <v>47</v>
      </c>
      <c r="L5" s="70" t="s">
        <v>5</v>
      </c>
      <c r="M5" s="70" t="s">
        <v>23</v>
      </c>
      <c r="N5" s="70" t="s">
        <v>46</v>
      </c>
      <c r="O5" s="70" t="s">
        <v>41</v>
      </c>
      <c r="Q5" s="69" t="s">
        <v>51</v>
      </c>
      <c r="R5" s="69" t="s">
        <v>42</v>
      </c>
      <c r="S5" s="69" t="s">
        <v>47</v>
      </c>
      <c r="T5" s="70" t="s">
        <v>5</v>
      </c>
      <c r="U5" s="70" t="s">
        <v>23</v>
      </c>
      <c r="V5" s="70" t="s">
        <v>46</v>
      </c>
      <c r="W5" s="70" t="s">
        <v>41</v>
      </c>
    </row>
    <row r="6" spans="1:23" x14ac:dyDescent="0.2">
      <c r="A6" s="71" t="s">
        <v>7</v>
      </c>
      <c r="B6" s="71">
        <v>37</v>
      </c>
      <c r="C6" s="71">
        <v>0.61</v>
      </c>
      <c r="D6" s="71">
        <f>SUM(E6:G6)</f>
        <v>517</v>
      </c>
      <c r="E6" s="71">
        <v>475</v>
      </c>
      <c r="F6" s="71">
        <v>34</v>
      </c>
      <c r="G6" s="71">
        <v>8</v>
      </c>
      <c r="I6" s="71" t="s">
        <v>7</v>
      </c>
      <c r="J6" s="71">
        <v>41</v>
      </c>
      <c r="K6" s="71">
        <v>0.72</v>
      </c>
      <c r="L6" s="71">
        <f>SUM(M6:O6)</f>
        <v>577</v>
      </c>
      <c r="M6" s="71">
        <v>489</v>
      </c>
      <c r="N6" s="71">
        <v>83</v>
      </c>
      <c r="O6" s="71">
        <v>5</v>
      </c>
      <c r="Q6" s="71" t="s">
        <v>7</v>
      </c>
      <c r="R6" s="71">
        <v>38</v>
      </c>
      <c r="S6" s="71">
        <v>0.49</v>
      </c>
      <c r="T6" s="71">
        <f>SUM(U6:W6)</f>
        <v>563</v>
      </c>
      <c r="U6" s="71">
        <v>483</v>
      </c>
      <c r="V6" s="71">
        <v>73</v>
      </c>
      <c r="W6" s="71">
        <v>7</v>
      </c>
    </row>
    <row r="7" spans="1:23" ht="15.75" x14ac:dyDescent="0.25">
      <c r="A7" s="71" t="s">
        <v>48</v>
      </c>
      <c r="B7" s="71" t="s">
        <v>49</v>
      </c>
      <c r="C7" s="72" t="s">
        <v>36</v>
      </c>
      <c r="D7" s="73">
        <f>D6/$C$6</f>
        <v>847.54098360655735</v>
      </c>
      <c r="E7" s="73">
        <f t="shared" ref="E7:G7" si="0">E6/$C$6</f>
        <v>778.68852459016398</v>
      </c>
      <c r="F7" s="73">
        <f t="shared" si="0"/>
        <v>55.73770491803279</v>
      </c>
      <c r="G7" s="73">
        <f t="shared" si="0"/>
        <v>13.114754098360656</v>
      </c>
      <c r="H7" s="74"/>
      <c r="I7" s="71" t="s">
        <v>48</v>
      </c>
      <c r="J7" s="71" t="s">
        <v>49</v>
      </c>
      <c r="K7" s="72" t="s">
        <v>36</v>
      </c>
      <c r="L7" s="73">
        <f>L6/$K$6</f>
        <v>801.38888888888891</v>
      </c>
      <c r="M7" s="73">
        <f>M6/$K$6</f>
        <v>679.16666666666674</v>
      </c>
      <c r="N7" s="73">
        <f>N6/$K$6</f>
        <v>115.27777777777779</v>
      </c>
      <c r="O7" s="73">
        <f>O6/$K$6</f>
        <v>6.9444444444444446</v>
      </c>
      <c r="Q7" s="71" t="s">
        <v>48</v>
      </c>
      <c r="R7" s="71" t="s">
        <v>49</v>
      </c>
      <c r="S7" s="72" t="s">
        <v>36</v>
      </c>
      <c r="T7" s="75">
        <f>T6/$S$6</f>
        <v>1148.9795918367347</v>
      </c>
      <c r="U7" s="75">
        <f t="shared" ref="U7:W7" si="1">U6/$S$6</f>
        <v>985.71428571428578</v>
      </c>
      <c r="V7" s="75">
        <f t="shared" si="1"/>
        <v>148.9795918367347</v>
      </c>
      <c r="W7" s="75">
        <f t="shared" si="1"/>
        <v>14.285714285714286</v>
      </c>
    </row>
    <row r="8" spans="1:23" ht="15.75" x14ac:dyDescent="0.25">
      <c r="A8" s="71"/>
      <c r="B8" s="71"/>
      <c r="C8" s="72" t="s">
        <v>9</v>
      </c>
      <c r="D8" s="76">
        <f>D6/$D$6</f>
        <v>1</v>
      </c>
      <c r="E8" s="76">
        <f>E6/$D$6</f>
        <v>0.9187620889748549</v>
      </c>
      <c r="F8" s="76">
        <f>F6/$D$6</f>
        <v>6.5764023210831718E-2</v>
      </c>
      <c r="G8" s="76">
        <f>G6/$D$6</f>
        <v>1.5473887814313346E-2</v>
      </c>
      <c r="H8" s="74"/>
      <c r="I8" s="71"/>
      <c r="J8" s="71"/>
      <c r="K8" s="72" t="s">
        <v>9</v>
      </c>
      <c r="L8" s="76">
        <f>L6/$L$6</f>
        <v>1</v>
      </c>
      <c r="M8" s="76">
        <f>M6/$L$6</f>
        <v>0.84748700173310221</v>
      </c>
      <c r="N8" s="76">
        <f>N6/$L$6</f>
        <v>0.14384748700173311</v>
      </c>
      <c r="O8" s="76">
        <f>O6/$L$6</f>
        <v>8.6655112651646445E-3</v>
      </c>
      <c r="Q8" s="71"/>
      <c r="R8" s="71"/>
      <c r="S8" s="72" t="s">
        <v>9</v>
      </c>
      <c r="T8" s="76">
        <f>T6/$T$6</f>
        <v>1</v>
      </c>
      <c r="U8" s="76">
        <f t="shared" ref="U8:W8" si="2">U6/$T$6</f>
        <v>0.8579040852575488</v>
      </c>
      <c r="V8" s="76">
        <f t="shared" si="2"/>
        <v>0.12966252220248667</v>
      </c>
      <c r="W8" s="76">
        <f t="shared" si="2"/>
        <v>1.2433392539964476E-2</v>
      </c>
    </row>
    <row r="9" spans="1:23" ht="15.75" x14ac:dyDescent="0.25">
      <c r="A9" s="71"/>
      <c r="B9" s="71"/>
      <c r="C9" s="71"/>
      <c r="D9" s="71"/>
      <c r="E9" s="71"/>
      <c r="F9" s="71"/>
      <c r="G9" s="71"/>
      <c r="H9" s="74"/>
      <c r="I9" s="71"/>
      <c r="J9" s="71"/>
      <c r="K9" s="71"/>
      <c r="L9" s="71"/>
      <c r="M9" s="71"/>
      <c r="N9" s="71"/>
      <c r="O9" s="71"/>
      <c r="Q9" s="71"/>
      <c r="R9" s="71"/>
      <c r="S9" s="71"/>
      <c r="T9" s="71"/>
      <c r="U9" s="71"/>
      <c r="V9" s="71"/>
      <c r="W9" s="71"/>
    </row>
    <row r="10" spans="1:23" x14ac:dyDescent="0.2">
      <c r="A10" s="71"/>
      <c r="B10" s="71">
        <v>37</v>
      </c>
      <c r="C10" s="71">
        <v>11.39</v>
      </c>
      <c r="D10" s="77">
        <f>SUM(E10:G10)</f>
        <v>11356</v>
      </c>
      <c r="E10" s="77">
        <v>10276</v>
      </c>
      <c r="F10" s="77">
        <v>979</v>
      </c>
      <c r="G10" s="77">
        <v>101</v>
      </c>
      <c r="I10" s="71"/>
      <c r="J10" s="71">
        <v>41</v>
      </c>
      <c r="K10" s="71">
        <v>0.72</v>
      </c>
      <c r="L10" s="77">
        <f>SUM(M10:O10)</f>
        <v>564</v>
      </c>
      <c r="M10" s="77">
        <v>475</v>
      </c>
      <c r="N10" s="77">
        <v>85</v>
      </c>
      <c r="O10" s="77">
        <v>4</v>
      </c>
      <c r="Q10" s="71"/>
      <c r="R10" s="71">
        <v>38</v>
      </c>
      <c r="S10" s="71">
        <v>0.47</v>
      </c>
      <c r="T10" s="77">
        <f>SUM(U10:W10)</f>
        <v>543</v>
      </c>
      <c r="U10" s="77">
        <v>472</v>
      </c>
      <c r="V10" s="77">
        <v>66</v>
      </c>
      <c r="W10" s="77">
        <v>5</v>
      </c>
    </row>
    <row r="11" spans="1:23" ht="15.75" x14ac:dyDescent="0.25">
      <c r="A11" s="71"/>
      <c r="B11" s="71" t="s">
        <v>45</v>
      </c>
      <c r="C11" s="72" t="s">
        <v>36</v>
      </c>
      <c r="D11" s="73">
        <f>D10/$C$10</f>
        <v>997.01492537313425</v>
      </c>
      <c r="E11" s="73">
        <f t="shared" ref="E11:G11" si="3">E10/$C$10</f>
        <v>902.19490781387174</v>
      </c>
      <c r="F11" s="73">
        <f t="shared" si="3"/>
        <v>85.952589991220364</v>
      </c>
      <c r="G11" s="73">
        <f t="shared" si="3"/>
        <v>8.8674275680421424</v>
      </c>
      <c r="I11" s="71"/>
      <c r="J11" s="71" t="s">
        <v>50</v>
      </c>
      <c r="K11" s="72" t="s">
        <v>36</v>
      </c>
      <c r="L11" s="73">
        <f>L10/$K$10</f>
        <v>783.33333333333337</v>
      </c>
      <c r="M11" s="73">
        <f>M10/$K$10</f>
        <v>659.72222222222229</v>
      </c>
      <c r="N11" s="73">
        <f>N10/$K$10</f>
        <v>118.05555555555556</v>
      </c>
      <c r="O11" s="73">
        <f>O10/$K$10</f>
        <v>5.5555555555555554</v>
      </c>
      <c r="Q11" s="71"/>
      <c r="R11" s="71" t="s">
        <v>50</v>
      </c>
      <c r="S11" s="72" t="s">
        <v>36</v>
      </c>
      <c r="T11" s="75">
        <f>T10/$S$10</f>
        <v>1155.3191489361702</v>
      </c>
      <c r="U11" s="75">
        <f t="shared" ref="U11:W11" si="4">U10/$S$10</f>
        <v>1004.2553191489362</v>
      </c>
      <c r="V11" s="75">
        <f t="shared" si="4"/>
        <v>140.42553191489361</v>
      </c>
      <c r="W11" s="75">
        <f t="shared" si="4"/>
        <v>10.638297872340425</v>
      </c>
    </row>
    <row r="12" spans="1:23" ht="15.75" x14ac:dyDescent="0.25">
      <c r="A12" s="71"/>
      <c r="B12" s="71"/>
      <c r="C12" s="72" t="s">
        <v>9</v>
      </c>
      <c r="D12" s="76">
        <f>D10/$D$10</f>
        <v>1</v>
      </c>
      <c r="E12" s="76">
        <f>E10/$D$10</f>
        <v>0.90489609017259598</v>
      </c>
      <c r="F12" s="76">
        <f>F10/$D$10</f>
        <v>8.6209933075026418E-2</v>
      </c>
      <c r="G12" s="76">
        <f>G10/$D$10</f>
        <v>8.8939767523775973E-3</v>
      </c>
      <c r="I12" s="71"/>
      <c r="J12" s="71"/>
      <c r="K12" s="72" t="s">
        <v>9</v>
      </c>
      <c r="L12" s="76">
        <f>L10/$L$10</f>
        <v>1</v>
      </c>
      <c r="M12" s="76">
        <f>M10/$L$10</f>
        <v>0.84219858156028371</v>
      </c>
      <c r="N12" s="76">
        <f>N10/$L$10</f>
        <v>0.15070921985815602</v>
      </c>
      <c r="O12" s="76">
        <f>O10/$L$10</f>
        <v>7.0921985815602835E-3</v>
      </c>
      <c r="Q12" s="71"/>
      <c r="R12" s="71"/>
      <c r="S12" s="72" t="s">
        <v>9</v>
      </c>
      <c r="T12" s="76">
        <f>T10/$T$10</f>
        <v>1</v>
      </c>
      <c r="U12" s="76">
        <f t="shared" ref="U12:W12" si="5">U10/$T$10</f>
        <v>0.86924493554327809</v>
      </c>
      <c r="V12" s="76">
        <f t="shared" si="5"/>
        <v>0.12154696132596685</v>
      </c>
      <c r="W12" s="76">
        <f t="shared" si="5"/>
        <v>9.2081031307550652E-3</v>
      </c>
    </row>
    <row r="13" spans="1:23" x14ac:dyDescent="0.2">
      <c r="A13" s="71"/>
      <c r="B13" s="71"/>
      <c r="C13" s="71"/>
      <c r="D13" s="71"/>
      <c r="E13" s="71"/>
      <c r="F13" s="71"/>
      <c r="G13" s="71"/>
      <c r="I13" s="71"/>
      <c r="J13" s="71"/>
      <c r="K13" s="71"/>
      <c r="L13" s="71"/>
      <c r="M13" s="71"/>
      <c r="N13" s="71"/>
      <c r="O13" s="71"/>
      <c r="Q13" s="71"/>
      <c r="R13" s="71"/>
      <c r="S13" s="71"/>
      <c r="T13" s="71"/>
      <c r="U13" s="71"/>
      <c r="V13" s="71"/>
      <c r="W13" s="71"/>
    </row>
    <row r="14" spans="1:23" ht="15.75" x14ac:dyDescent="0.25">
      <c r="A14" s="69" t="s">
        <v>5</v>
      </c>
      <c r="B14" s="69">
        <v>37</v>
      </c>
      <c r="C14" s="78">
        <f>C6+C10</f>
        <v>12</v>
      </c>
      <c r="D14" s="70">
        <f t="shared" ref="D14:G14" si="6">D6+D10</f>
        <v>11873</v>
      </c>
      <c r="E14" s="70">
        <f t="shared" si="6"/>
        <v>10751</v>
      </c>
      <c r="F14" s="70">
        <f t="shared" si="6"/>
        <v>1013</v>
      </c>
      <c r="G14" s="70">
        <f t="shared" si="6"/>
        <v>109</v>
      </c>
      <c r="I14" s="71"/>
      <c r="J14" s="71">
        <v>41</v>
      </c>
      <c r="K14" s="71">
        <v>6.11</v>
      </c>
      <c r="L14" s="77">
        <v>5947</v>
      </c>
      <c r="M14" s="77">
        <v>4792</v>
      </c>
      <c r="N14" s="77">
        <v>1113</v>
      </c>
      <c r="O14" s="77">
        <v>42</v>
      </c>
      <c r="Q14" s="71"/>
      <c r="R14" s="71">
        <v>38</v>
      </c>
      <c r="S14" s="79">
        <v>7</v>
      </c>
      <c r="T14" s="77">
        <f>SUM(U14:W14)</f>
        <v>7409</v>
      </c>
      <c r="U14" s="77">
        <v>6423</v>
      </c>
      <c r="V14" s="77">
        <v>914</v>
      </c>
      <c r="W14" s="77">
        <v>72</v>
      </c>
    </row>
    <row r="15" spans="1:23" ht="15.75" x14ac:dyDescent="0.25">
      <c r="A15" s="69"/>
      <c r="B15" s="69"/>
      <c r="C15" s="69" t="s">
        <v>36</v>
      </c>
      <c r="D15" s="80">
        <f>D14/$C$14</f>
        <v>989.41666666666663</v>
      </c>
      <c r="E15" s="80">
        <f t="shared" ref="E15:G15" si="7">E14/$C$14</f>
        <v>895.91666666666663</v>
      </c>
      <c r="F15" s="80">
        <f t="shared" si="7"/>
        <v>84.416666666666671</v>
      </c>
      <c r="G15" s="80">
        <f t="shared" si="7"/>
        <v>9.0833333333333339</v>
      </c>
      <c r="I15" s="71"/>
      <c r="J15" s="71" t="s">
        <v>45</v>
      </c>
      <c r="K15" s="72" t="s">
        <v>36</v>
      </c>
      <c r="L15" s="73">
        <f>L14/$K$14</f>
        <v>973.32242225859238</v>
      </c>
      <c r="M15" s="73">
        <f>M14/$K$14</f>
        <v>784.28805237315873</v>
      </c>
      <c r="N15" s="73">
        <f>N14/$K$14</f>
        <v>182.16039279869065</v>
      </c>
      <c r="O15" s="73">
        <f>O14/$K$14</f>
        <v>6.8739770867430439</v>
      </c>
      <c r="Q15" s="71"/>
      <c r="R15" s="71" t="s">
        <v>45</v>
      </c>
      <c r="S15" s="72" t="s">
        <v>36</v>
      </c>
      <c r="T15" s="75">
        <f>T14/$S$14</f>
        <v>1058.4285714285713</v>
      </c>
      <c r="U15" s="73">
        <f t="shared" ref="U15:W15" si="8">U14/$S$14</f>
        <v>917.57142857142856</v>
      </c>
      <c r="V15" s="73">
        <f t="shared" si="8"/>
        <v>130.57142857142858</v>
      </c>
      <c r="W15" s="73">
        <f t="shared" si="8"/>
        <v>10.285714285714286</v>
      </c>
    </row>
    <row r="16" spans="1:23" ht="15.75" x14ac:dyDescent="0.25">
      <c r="A16" s="69"/>
      <c r="B16" s="69"/>
      <c r="C16" s="69" t="s">
        <v>9</v>
      </c>
      <c r="D16" s="81">
        <f>D14/$D$14</f>
        <v>1</v>
      </c>
      <c r="E16" s="81">
        <f t="shared" ref="E16:G16" si="9">E14/$D$14</f>
        <v>0.90549987366293272</v>
      </c>
      <c r="F16" s="81">
        <f t="shared" si="9"/>
        <v>8.5319632780257726E-2</v>
      </c>
      <c r="G16" s="81">
        <f t="shared" si="9"/>
        <v>9.1804935568095686E-3</v>
      </c>
      <c r="I16" s="71"/>
      <c r="J16" s="71"/>
      <c r="K16" s="72" t="s">
        <v>9</v>
      </c>
      <c r="L16" s="76">
        <f>L14/$L$14</f>
        <v>1</v>
      </c>
      <c r="M16" s="76">
        <f>M14/$L$14</f>
        <v>0.805784429123928</v>
      </c>
      <c r="N16" s="76">
        <f>N14/$L$14</f>
        <v>0.18715318648057844</v>
      </c>
      <c r="O16" s="76">
        <f>O14/$L$14</f>
        <v>7.0623843954935265E-3</v>
      </c>
      <c r="Q16" s="71"/>
      <c r="R16" s="71"/>
      <c r="S16" s="72" t="s">
        <v>9</v>
      </c>
      <c r="T16" s="76">
        <f>T14/$T$14</f>
        <v>1</v>
      </c>
      <c r="U16" s="76">
        <f t="shared" ref="U16:W16" si="10">U14/$T$14</f>
        <v>0.86691861249831281</v>
      </c>
      <c r="V16" s="76">
        <f t="shared" si="10"/>
        <v>0.12336347685247671</v>
      </c>
      <c r="W16" s="76">
        <f t="shared" si="10"/>
        <v>9.7179106492104195E-3</v>
      </c>
    </row>
    <row r="17" spans="9:23" x14ac:dyDescent="0.2">
      <c r="I17" s="71"/>
      <c r="J17" s="71"/>
      <c r="K17" s="71"/>
      <c r="L17" s="71"/>
      <c r="M17" s="71"/>
      <c r="N17" s="71"/>
      <c r="O17" s="71"/>
      <c r="Q17" s="71"/>
      <c r="R17" s="71"/>
      <c r="S17" s="71"/>
      <c r="T17" s="71"/>
      <c r="U17" s="71"/>
      <c r="V17" s="71"/>
      <c r="W17" s="71"/>
    </row>
    <row r="18" spans="9:23" ht="15.75" x14ac:dyDescent="0.25">
      <c r="I18" s="69" t="s">
        <v>5</v>
      </c>
      <c r="J18" s="69">
        <v>41</v>
      </c>
      <c r="K18" s="82">
        <f>K6+K10+K14</f>
        <v>7.5500000000000007</v>
      </c>
      <c r="L18" s="70">
        <f t="shared" ref="L18:O18" si="11">L6+L10+L14</f>
        <v>7088</v>
      </c>
      <c r="M18" s="70">
        <f t="shared" si="11"/>
        <v>5756</v>
      </c>
      <c r="N18" s="70">
        <f t="shared" si="11"/>
        <v>1281</v>
      </c>
      <c r="O18" s="70">
        <f t="shared" si="11"/>
        <v>51</v>
      </c>
      <c r="Q18" s="69" t="s">
        <v>5</v>
      </c>
      <c r="R18" s="69">
        <v>38</v>
      </c>
      <c r="S18" s="82">
        <f>S6+S10+S14</f>
        <v>7.96</v>
      </c>
      <c r="T18" s="70">
        <f t="shared" ref="T18:W18" si="12">T6+T10+T14</f>
        <v>8515</v>
      </c>
      <c r="U18" s="70">
        <f t="shared" si="12"/>
        <v>7378</v>
      </c>
      <c r="V18" s="70">
        <f t="shared" si="12"/>
        <v>1053</v>
      </c>
      <c r="W18" s="70">
        <f t="shared" si="12"/>
        <v>84</v>
      </c>
    </row>
    <row r="19" spans="9:23" ht="15.75" x14ac:dyDescent="0.25">
      <c r="I19" s="69"/>
      <c r="J19" s="69"/>
      <c r="K19" s="69" t="s">
        <v>36</v>
      </c>
      <c r="L19" s="80">
        <f>L18/$K$18</f>
        <v>938.80794701986747</v>
      </c>
      <c r="M19" s="80">
        <f>M18/$K$18</f>
        <v>762.38410596026483</v>
      </c>
      <c r="N19" s="80">
        <f>N18/$K$18</f>
        <v>169.66887417218541</v>
      </c>
      <c r="O19" s="80">
        <f>O18/$K$18</f>
        <v>6.7549668874172175</v>
      </c>
      <c r="Q19" s="69"/>
      <c r="R19" s="69"/>
      <c r="S19" s="69" t="s">
        <v>36</v>
      </c>
      <c r="T19" s="70">
        <f>T18/$S$18</f>
        <v>1069.7236180904522</v>
      </c>
      <c r="U19" s="70">
        <f t="shared" ref="U19:W19" si="13">U18/$S$18</f>
        <v>926.8844221105528</v>
      </c>
      <c r="V19" s="70">
        <f t="shared" si="13"/>
        <v>132.28643216080403</v>
      </c>
      <c r="W19" s="70">
        <f t="shared" si="13"/>
        <v>10.552763819095478</v>
      </c>
    </row>
    <row r="20" spans="9:23" ht="15.75" x14ac:dyDescent="0.25">
      <c r="I20" s="69"/>
      <c r="J20" s="69"/>
      <c r="K20" s="69" t="s">
        <v>9</v>
      </c>
      <c r="L20" s="81">
        <f>L18/$L$18</f>
        <v>1</v>
      </c>
      <c r="M20" s="81">
        <f>M18/$L$18</f>
        <v>0.81207674943566588</v>
      </c>
      <c r="N20" s="81">
        <f>N18/$L$18</f>
        <v>0.18072799097065462</v>
      </c>
      <c r="O20" s="81">
        <f>O18/$L$18</f>
        <v>7.1952595936794579E-3</v>
      </c>
      <c r="Q20" s="69"/>
      <c r="R20" s="69"/>
      <c r="S20" s="69" t="s">
        <v>9</v>
      </c>
      <c r="T20" s="81">
        <f>T18/$T$18</f>
        <v>1</v>
      </c>
      <c r="U20" s="81">
        <f t="shared" ref="U20:W20" si="14">U18/$T$18</f>
        <v>0.86647093364650618</v>
      </c>
      <c r="V20" s="81">
        <f t="shared" si="14"/>
        <v>0.12366412213740458</v>
      </c>
      <c r="W20" s="81">
        <f t="shared" si="14"/>
        <v>9.8649442160892546E-3</v>
      </c>
    </row>
  </sheetData>
  <pageMargins left="0.31496062992125984" right="0.31496062992125984" top="0.74803149606299213" bottom="0.74803149606299213" header="0.31496062992125984" footer="0.31496062992125984"/>
  <pageSetup paperSize="9" scale="83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baseColWidth="10" defaultRowHeight="15" x14ac:dyDescent="0.2"/>
  <cols>
    <col min="1" max="1" width="11.42578125" style="52"/>
    <col min="2" max="2" width="11.42578125" style="1"/>
    <col min="3" max="16384" width="11.42578125" style="52"/>
  </cols>
  <sheetData>
    <row r="1" spans="1:2" x14ac:dyDescent="0.2">
      <c r="B1" s="1" t="s">
        <v>52</v>
      </c>
    </row>
    <row r="2" spans="1:2" x14ac:dyDescent="0.2">
      <c r="A2" s="52" t="s">
        <v>58</v>
      </c>
      <c r="B2" s="1">
        <v>51.98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activeCell="G19" sqref="G19"/>
    </sheetView>
  </sheetViews>
  <sheetFormatPr baseColWidth="10" defaultRowHeight="14.25" x14ac:dyDescent="0.2"/>
  <cols>
    <col min="1" max="16384" width="11.42578125" style="45"/>
  </cols>
  <sheetData>
    <row r="1" spans="1:5" ht="15" x14ac:dyDescent="0.25">
      <c r="A1" s="44" t="s">
        <v>55</v>
      </c>
      <c r="B1" s="44" t="s">
        <v>3</v>
      </c>
      <c r="C1" s="44" t="s">
        <v>4</v>
      </c>
      <c r="D1" s="44" t="s">
        <v>9</v>
      </c>
      <c r="E1" s="44" t="s">
        <v>36</v>
      </c>
    </row>
    <row r="2" spans="1:5" ht="15" x14ac:dyDescent="0.25">
      <c r="A2" s="44" t="s">
        <v>10</v>
      </c>
      <c r="B2" s="46"/>
      <c r="C2" s="46">
        <v>5</v>
      </c>
      <c r="D2" s="47">
        <f>C2/$C$5</f>
        <v>2.4390243902439025E-2</v>
      </c>
      <c r="E2" s="49">
        <f>$E$5*D2</f>
        <v>1.1258536585365853</v>
      </c>
    </row>
    <row r="3" spans="1:5" ht="15" x14ac:dyDescent="0.25">
      <c r="A3" s="44" t="s">
        <v>53</v>
      </c>
      <c r="B3" s="46"/>
      <c r="C3" s="46">
        <v>183</v>
      </c>
      <c r="D3" s="47">
        <f>C3/$C$5</f>
        <v>0.89268292682926831</v>
      </c>
      <c r="E3" s="49">
        <f t="shared" ref="E3:E4" si="0">$E$5*D3</f>
        <v>41.20624390243902</v>
      </c>
    </row>
    <row r="4" spans="1:5" ht="15" x14ac:dyDescent="0.25">
      <c r="A4" s="44" t="s">
        <v>2</v>
      </c>
      <c r="B4" s="46"/>
      <c r="C4" s="46">
        <v>17</v>
      </c>
      <c r="D4" s="47">
        <f>C4/$C$5</f>
        <v>8.2926829268292687E-2</v>
      </c>
      <c r="E4" s="49">
        <f t="shared" si="0"/>
        <v>3.8279024390243901</v>
      </c>
    </row>
    <row r="5" spans="1:5" s="48" customFormat="1" ht="15" x14ac:dyDescent="0.25">
      <c r="A5" s="44" t="s">
        <v>5</v>
      </c>
      <c r="B5" s="44">
        <v>11.54</v>
      </c>
      <c r="C5" s="44">
        <f>SUM(C2:C4)</f>
        <v>205</v>
      </c>
      <c r="D5" s="51">
        <f>C5/$C$5</f>
        <v>1</v>
      </c>
      <c r="E5" s="50">
        <f>B5*4</f>
        <v>46.16</v>
      </c>
    </row>
    <row r="6" spans="1:5" ht="15" x14ac:dyDescent="0.25">
      <c r="E6" s="49"/>
    </row>
    <row r="7" spans="1:5" ht="15" x14ac:dyDescent="0.25">
      <c r="A7" s="44" t="s">
        <v>54</v>
      </c>
      <c r="B7" s="44" t="s">
        <v>3</v>
      </c>
      <c r="C7" s="44" t="s">
        <v>4</v>
      </c>
      <c r="D7" s="44" t="s">
        <v>9</v>
      </c>
      <c r="E7" s="50"/>
    </row>
    <row r="8" spans="1:5" ht="15" x14ac:dyDescent="0.25">
      <c r="A8" s="44" t="s">
        <v>10</v>
      </c>
      <c r="B8" s="46"/>
      <c r="C8" s="46">
        <v>2</v>
      </c>
      <c r="D8" s="47">
        <f>C8/$C$11</f>
        <v>8.7336244541484712E-3</v>
      </c>
      <c r="E8" s="49">
        <f>$E$11*D8</f>
        <v>0.45205240174672484</v>
      </c>
    </row>
    <row r="9" spans="1:5" ht="15" x14ac:dyDescent="0.25">
      <c r="A9" s="44" t="s">
        <v>53</v>
      </c>
      <c r="B9" s="46"/>
      <c r="C9" s="46">
        <v>217</v>
      </c>
      <c r="D9" s="47">
        <f>C9/$C$11</f>
        <v>0.94759825327510916</v>
      </c>
      <c r="E9" s="49">
        <f t="shared" ref="E9:E10" si="1">$E$11*D9</f>
        <v>49.047685589519645</v>
      </c>
    </row>
    <row r="10" spans="1:5" ht="15" x14ac:dyDescent="0.25">
      <c r="A10" s="44" t="s">
        <v>2</v>
      </c>
      <c r="B10" s="46"/>
      <c r="C10" s="46">
        <v>10</v>
      </c>
      <c r="D10" s="47">
        <f>C10/$C$11</f>
        <v>4.3668122270742356E-2</v>
      </c>
      <c r="E10" s="49">
        <f t="shared" si="1"/>
        <v>2.260262008733624</v>
      </c>
    </row>
    <row r="11" spans="1:5" s="48" customFormat="1" ht="15" x14ac:dyDescent="0.25">
      <c r="A11" s="44" t="s">
        <v>5</v>
      </c>
      <c r="B11" s="44">
        <v>12.94</v>
      </c>
      <c r="C11" s="44">
        <f>SUM(C8:C10)</f>
        <v>229</v>
      </c>
      <c r="D11" s="51">
        <f>C11/$C$11</f>
        <v>1</v>
      </c>
      <c r="E11" s="50">
        <f>B11*4</f>
        <v>51.76</v>
      </c>
    </row>
    <row r="12" spans="1:5" ht="15" x14ac:dyDescent="0.25">
      <c r="E12" s="49"/>
    </row>
    <row r="13" spans="1:5" ht="15" x14ac:dyDescent="0.25">
      <c r="A13" s="44" t="s">
        <v>56</v>
      </c>
      <c r="B13" s="44" t="s">
        <v>3</v>
      </c>
      <c r="C13" s="44" t="s">
        <v>4</v>
      </c>
      <c r="D13" s="44" t="s">
        <v>9</v>
      </c>
      <c r="E13" s="50"/>
    </row>
    <row r="14" spans="1:5" ht="15" x14ac:dyDescent="0.25">
      <c r="A14" s="44" t="s">
        <v>10</v>
      </c>
      <c r="B14" s="46"/>
      <c r="C14" s="46">
        <v>0</v>
      </c>
      <c r="D14" s="47">
        <f>C14/$C$17</f>
        <v>0</v>
      </c>
      <c r="E14" s="49">
        <f>$E$17*D14</f>
        <v>0</v>
      </c>
    </row>
    <row r="15" spans="1:5" ht="15" x14ac:dyDescent="0.25">
      <c r="A15" s="44" t="s">
        <v>53</v>
      </c>
      <c r="B15" s="46"/>
      <c r="C15" s="46">
        <v>172</v>
      </c>
      <c r="D15" s="47">
        <f>C15/$C$17</f>
        <v>1</v>
      </c>
      <c r="E15" s="49">
        <f t="shared" ref="E15:E16" si="2">$E$17*D15</f>
        <v>37.6</v>
      </c>
    </row>
    <row r="16" spans="1:5" ht="15" x14ac:dyDescent="0.25">
      <c r="A16" s="44" t="s">
        <v>2</v>
      </c>
      <c r="B16" s="46"/>
      <c r="C16" s="46">
        <v>0</v>
      </c>
      <c r="D16" s="47">
        <f>C16/$C$17</f>
        <v>0</v>
      </c>
      <c r="E16" s="49">
        <f t="shared" si="2"/>
        <v>0</v>
      </c>
    </row>
    <row r="17" spans="1:5" s="48" customFormat="1" ht="15" x14ac:dyDescent="0.25">
      <c r="A17" s="44" t="s">
        <v>5</v>
      </c>
      <c r="B17" s="44">
        <v>9.4</v>
      </c>
      <c r="C17" s="44">
        <f>SUM(C14:C16)</f>
        <v>172</v>
      </c>
      <c r="D17" s="51">
        <f>C17/$C$17</f>
        <v>1</v>
      </c>
      <c r="E17" s="50">
        <f>B17*4</f>
        <v>37.6</v>
      </c>
    </row>
    <row r="18" spans="1:5" ht="15" x14ac:dyDescent="0.25">
      <c r="E18" s="49"/>
    </row>
    <row r="19" spans="1:5" ht="15" x14ac:dyDescent="0.25">
      <c r="A19" s="44" t="s">
        <v>57</v>
      </c>
      <c r="B19" s="44" t="s">
        <v>3</v>
      </c>
      <c r="C19" s="44" t="s">
        <v>4</v>
      </c>
      <c r="D19" s="44" t="s">
        <v>9</v>
      </c>
      <c r="E19" s="50"/>
    </row>
    <row r="20" spans="1:5" ht="15" x14ac:dyDescent="0.25">
      <c r="A20" s="44" t="s">
        <v>10</v>
      </c>
      <c r="B20" s="46"/>
      <c r="C20" s="46">
        <v>2</v>
      </c>
      <c r="D20" s="47">
        <f>C20/$C$23</f>
        <v>1.0101010101010102E-2</v>
      </c>
      <c r="E20" s="49">
        <f>$E$23*D20</f>
        <v>0.35393939393939394</v>
      </c>
    </row>
    <row r="21" spans="1:5" ht="15" x14ac:dyDescent="0.25">
      <c r="A21" s="44" t="s">
        <v>53</v>
      </c>
      <c r="B21" s="46"/>
      <c r="C21" s="46">
        <v>196</v>
      </c>
      <c r="D21" s="47">
        <f>C21/$C$23</f>
        <v>0.98989898989898994</v>
      </c>
      <c r="E21" s="49">
        <f t="shared" ref="E21:E22" si="3">$E$23*D21</f>
        <v>34.686060606060607</v>
      </c>
    </row>
    <row r="22" spans="1:5" ht="15" x14ac:dyDescent="0.25">
      <c r="A22" s="44" t="s">
        <v>2</v>
      </c>
      <c r="B22" s="46"/>
      <c r="C22" s="46">
        <v>0</v>
      </c>
      <c r="D22" s="47">
        <f>C22/$C$23</f>
        <v>0</v>
      </c>
      <c r="E22" s="49">
        <f t="shared" si="3"/>
        <v>0</v>
      </c>
    </row>
    <row r="23" spans="1:5" s="48" customFormat="1" ht="15" x14ac:dyDescent="0.25">
      <c r="A23" s="44" t="s">
        <v>5</v>
      </c>
      <c r="B23" s="44">
        <v>8.76</v>
      </c>
      <c r="C23" s="44">
        <f>SUM(C20:C22)</f>
        <v>198</v>
      </c>
      <c r="D23" s="51">
        <f>C23/$C$23</f>
        <v>1</v>
      </c>
      <c r="E23" s="50">
        <f>B23*4</f>
        <v>35.04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At 22-12</vt:lpstr>
      <vt:lpstr>Ax 22-12</vt:lpstr>
      <vt:lpstr>Ag 22-12</vt:lpstr>
      <vt:lpstr>Ax Rootex</vt:lpstr>
      <vt:lpstr>Ag+At Root</vt:lpstr>
      <vt:lpstr>Ag L37-2021</vt:lpstr>
      <vt:lpstr>At L41-2021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usuario</cp:lastModifiedBy>
  <cp:lastPrinted>2021-12-21T14:08:22Z</cp:lastPrinted>
  <dcterms:created xsi:type="dcterms:W3CDTF">2020-12-22T19:13:38Z</dcterms:created>
  <dcterms:modified xsi:type="dcterms:W3CDTF">2026-08-15T11:55:47Z</dcterms:modified>
</cp:coreProperties>
</file>